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6" i="1" l="1"/>
</calcChain>
</file>

<file path=xl/sharedStrings.xml><?xml version="1.0" encoding="utf-8"?>
<sst xmlns="http://schemas.openxmlformats.org/spreadsheetml/2006/main" count="87" uniqueCount="87">
  <si>
    <t>RestoPros - St. Louis, MO</t>
  </si>
  <si>
    <t>Balance Sheet</t>
  </si>
  <si>
    <t>As of Jun 30, 2026</t>
  </si>
  <si>
    <t>Assets</t>
  </si>
  <si>
    <t>Current Assets</t>
  </si>
  <si>
    <t>Bank Accounts</t>
  </si>
  <si>
    <t>Business Checking (3576) - 1 **DO NOT USE**</t>
  </si>
  <si>
    <t>Cash App</t>
  </si>
  <si>
    <t>Huntington Checking</t>
  </si>
  <si>
    <t>PNC Business Checking (3576)</t>
  </si>
  <si>
    <t>QuickBooks Checking Account</t>
  </si>
  <si>
    <t>Total for Bank Accounts</t>
  </si>
  <si>
    <t>Accounts Receivable</t>
  </si>
  <si>
    <t>Accounts Receivable (A/R)</t>
  </si>
  <si>
    <t>Total for Accounts Receivable</t>
  </si>
  <si>
    <t>Other Current Assets</t>
  </si>
  <si>
    <t>QuickBooks Tax Holding Account</t>
  </si>
  <si>
    <t>Undeposited Funds</t>
  </si>
  <si>
    <t>Total for Other Current Assets</t>
  </si>
  <si>
    <t>Total for Current Assets</t>
  </si>
  <si>
    <t>Fixed Assets</t>
  </si>
  <si>
    <t>Accumulated depreciation</t>
  </si>
  <si>
    <t>Computer hardware</t>
  </si>
  <si>
    <t>Equipment</t>
  </si>
  <si>
    <t>Accumulated depreciation - equipment</t>
  </si>
  <si>
    <t>Total for Equipment</t>
  </si>
  <si>
    <t>Franchise fee</t>
  </si>
  <si>
    <t>Accumulated amortization - franchise fee</t>
  </si>
  <si>
    <t>Total for Franchise fee</t>
  </si>
  <si>
    <t>Vehicles</t>
  </si>
  <si>
    <t>Accumulated depreciation - box truck</t>
  </si>
  <si>
    <t>Accumulated depreciation - maverick</t>
  </si>
  <si>
    <t>Vehicle - Box truck</t>
  </si>
  <si>
    <t>Vehicle - Maverick</t>
  </si>
  <si>
    <t>Total for Vehicles</t>
  </si>
  <si>
    <t>Total for Fixed Assets</t>
  </si>
  <si>
    <t>Total for Assets</t>
  </si>
  <si>
    <t>Liabilities and Equity</t>
  </si>
  <si>
    <t>Liabilities</t>
  </si>
  <si>
    <t>Current Liabilities</t>
  </si>
  <si>
    <t>Accounts Payable</t>
  </si>
  <si>
    <t>Accounts Payable (A/P)</t>
  </si>
  <si>
    <t>Total for Accounts Payable</t>
  </si>
  <si>
    <t>Credit Cards</t>
  </si>
  <si>
    <t>**DO NOT USE** PNC Cash Rewards® Visa Signature® Business (1562) - 1</t>
  </si>
  <si>
    <t>*PRIMARY CC* PNC Cash Rewards (1562)</t>
  </si>
  <si>
    <t>Total for Credit Cards</t>
  </si>
  <si>
    <t>Other Current Liabilities</t>
  </si>
  <si>
    <t>Direct Deposit Payable</t>
  </si>
  <si>
    <t>Payroll Liabilities</t>
  </si>
  <si>
    <t>Federal Taxes (941)</t>
  </si>
  <si>
    <t>Federal Taxes (941/943/944)</t>
  </si>
  <si>
    <t>Federal Unemployment (940)</t>
  </si>
  <si>
    <t>MO Income Tax</t>
  </si>
  <si>
    <t>MO Local Tax</t>
  </si>
  <si>
    <t>MO Unemployment Tax</t>
  </si>
  <si>
    <t>Total for Payroll Liabilities</t>
  </si>
  <si>
    <t>Repayment</t>
  </si>
  <si>
    <t>Advance Repayment</t>
  </si>
  <si>
    <t>Advance Repayment - $200</t>
  </si>
  <si>
    <t>Advance Repayment - 43.78 hours</t>
  </si>
  <si>
    <t>Advance Repayment (from 9/20)</t>
  </si>
  <si>
    <t>WRT Course Expense</t>
  </si>
  <si>
    <t>WRT Test Expense</t>
  </si>
  <si>
    <t>Total for Repayment</t>
  </si>
  <si>
    <t>Total for Other Current Liabilities</t>
  </si>
  <si>
    <t>Total for Current Liabilities</t>
  </si>
  <si>
    <t>Long-term Liabilities</t>
  </si>
  <si>
    <t>Loans Payable</t>
  </si>
  <si>
    <t>Loans Payable - Adeline</t>
  </si>
  <si>
    <t>Loans Payable - Huntington Bank</t>
  </si>
  <si>
    <t>Loans Payable - Mark</t>
  </si>
  <si>
    <t>Loans Payable - Vehicle</t>
  </si>
  <si>
    <t>Loans payable - Wealthfront</t>
  </si>
  <si>
    <t>Total for Loans Payable</t>
  </si>
  <si>
    <t>Total for Long-term Liabilities</t>
  </si>
  <si>
    <t>Total for Liabilities</t>
  </si>
  <si>
    <t>Equity</t>
  </si>
  <si>
    <t>Member 1 Contributions</t>
  </si>
  <si>
    <t>Member 1 Draws</t>
  </si>
  <si>
    <t>Retained Earnings</t>
  </si>
  <si>
    <t>Net Income</t>
  </si>
  <si>
    <t>Total for Equity</t>
  </si>
  <si>
    <t>Total for Liabilities and Equity</t>
  </si>
  <si>
    <t/>
  </si>
  <si>
    <t>Total</t>
  </si>
  <si>
    <t>Accrual Basis Wednesday, July 01, 2026 09:17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</si>
</sst>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61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0" fillId="0" borderId="0" xfId="0" applyAlignment="1">
      <alignment horizontal="left" indent="3"/>
    </xf>
    <xf numFmtId="0" fontId="3" fillId="0" borderId="0" xfId="0" applyFont="1" applyAlignment="1">
      <alignment horizontal="left" indent="3"/>
    </xf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 indent="2"/>
    </xf>
    <xf numFmtId="0" fontId="5" fillId="0" borderId="0" xfId="0" applyFont="1" applyAlignment="1">
      <alignment horizontal="left" indent="2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5" fillId="0" borderId="2" xfId="0" applyNumberFormat="1" applyFont="1" applyBorder="1"/>
    <xf numFmtId="177" fontId="3" fillId="0" borderId="0" xfId="0" applyNumberFormat="1" applyFont="1"/>
    <xf numFmtId="0" fontId="2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  <xf numFmtId="0" fontId="3" fillId="0" borderId="0" xfId="0" applyFont="1"/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left" indent="4"/>
    </xf>
    <xf numFmtId="0" fontId="3" fillId="0" borderId="0" xfId="0" applyFont="1" applyAlignment="1">
      <alignment horizontal="left" indent="4"/>
    </xf>
    <xf numFmtId="0" fontId="2" fillId="0" borderId="0" xfId="0" applyFont="1" applyAlignment="1">
      <alignment horizontal="left" indent="3"/>
    </xf>
    <xf numFmtId="0" fontId="5" fillId="0" borderId="0" xfId="0" applyFont="1" applyAlignment="1">
      <alignment horizontal="left" indent="3"/>
    </xf>
    <xf numFmtId="0" fontId="0" fillId="0" borderId="0" xfId="0" applyAlignment="1">
      <alignment horizontal="left" indent="5"/>
    </xf>
    <xf numFmtId="0" fontId="3" fillId="0" borderId="0" xfId="0" applyFont="1" applyAlignment="1">
      <alignment horizontal="left" indent="5"/>
    </xf>
    <xf numFmtId="0" fontId="2" fillId="0" borderId="0" xfId="0" applyFont="1" applyAlignment="1">
      <alignment horizontal="left" indent="4"/>
    </xf>
    <xf numFmtId="0" fontId="5" fillId="0" borderId="0" xfId="0" applyFont="1" applyAlignment="1">
      <alignment horizontal="left" indent="4"/>
    </xf>
    <xf numFmtId="0" fontId="2" fillId="0" borderId="1" xfId="20">
      <alignment/>
      <protection/>
    </xf>
    <xf numFmtId="0" fontId="4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4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3" fillId="0" borderId="0" xfId="0" applyFont="1" applyAlignment="1">
      <alignment horizontal="left" wrapText="1" indent="3"/>
    </xf>
    <xf numFmtId="0" fontId="5" fillId="0" borderId="0" xfId="0" applyFont="1" applyAlignment="1">
      <alignment horizontal="left" wrapText="1" indent="2"/>
    </xf>
    <xf numFmtId="0" fontId="5" fillId="0" borderId="0" xfId="0" applyFont="1" applyAlignment="1">
      <alignment horizontal="left" wrapText="1" indent="1"/>
    </xf>
    <xf numFmtId="0" fontId="5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4"/>
    </xf>
    <xf numFmtId="0" fontId="5" fillId="0" borderId="0" xfId="0" applyFont="1" applyAlignment="1">
      <alignment horizontal="left" wrapText="1" indent="3"/>
    </xf>
    <xf numFmtId="0" fontId="3" fillId="0" borderId="0" xfId="0" applyFont="1" applyAlignment="1">
      <alignment horizontal="left" wrapText="1" indent="5"/>
    </xf>
    <xf numFmtId="0" fontId="5" fillId="0" borderId="0" xfId="0" applyFont="1" applyAlignment="1">
      <alignment horizontal="left" wrapText="1" indent="4"/>
    </xf>
    <xf numFmtId="0" fontId="0" fillId="0" borderId="0" xfId="0" applyAlignment="1">
      <alignment wrapText="1"/>
    </xf>
    <xf numFmtId="0" fontId="4" fillId="0" borderId="1" xfId="20" applyFont="1" applyBorder="1" applyAlignment="1">
      <alignment wrapText="1"/>
      <protection/>
    </xf>
    <xf numFmtId="0" fontId="4" fillId="0" borderId="1" xfId="20" applyFont="1" applyBorder="1" applyAlignment="1">
      <alignment horizontal="center" wrapText="1"/>
      <protection/>
    </xf>
    <xf numFmtId="178" fontId="3" fillId="0" borderId="0" xfId="0" applyNumberFormat="1" applyFont="1" applyAlignment="1">
      <alignment wrapText="1"/>
    </xf>
    <xf numFmtId="177" fontId="5" fillId="0" borderId="2" xfId="0" applyNumberFormat="1" applyFont="1" applyBorder="1" applyAlignment="1">
      <alignment wrapText="1"/>
    </xf>
    <xf numFmtId="177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0" fontId="4" fillId="0" borderId="1" xfId="20" applyFont="1" applyAlignment="1">
      <alignment horizontal="center" wrapText="1"/>
      <protection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B90"/>
  <sheetViews>
    <sheetView tabSelected="1" workbookViewId="0" topLeftCell="A1"/>
  </sheetViews>
  <sheetFormatPr defaultColWidth="11.255" defaultRowHeight="16"/>
  <cols>
    <col min="1" max="1" width="59.125" style="52" customWidth="1"/>
    <col min="2" max="2" width="17" style="52" customWidth="1"/>
  </cols>
  <sheetData>
    <row r="1" spans="1:1" ht="16">
      <c r="A1" s="37" t="s">
        <v>0</v>
      </c>
    </row>
    <row r="2" spans="1:1" ht="16">
      <c r="A2" s="38" t="s">
        <v>1</v>
      </c>
    </row>
    <row r="3" spans="1:1" ht="16">
      <c r="A3" s="39" t="s">
        <v>2</v>
      </c>
    </row>
    <row r="5" spans="1:2" ht="16">
      <c r="A5" s="54" t="s">
        <v>84</v>
      </c>
      <c r="B5" s="59" t="s">
        <v>85</v>
      </c>
    </row>
    <row r="6" spans="1:1" ht="16">
      <c r="A6" s="41" t="s">
        <v>3</v>
      </c>
    </row>
    <row r="7" spans="1:1" ht="16">
      <c r="A7" s="42" t="s">
        <v>4</v>
      </c>
    </row>
    <row r="8" spans="1:1" ht="16">
      <c r="A8" s="43" t="s">
        <v>5</v>
      </c>
    </row>
    <row r="9" spans="1:2" ht="16">
      <c r="A9" s="44" t="s">
        <v>6</v>
      </c>
      <c r="B9" s="55">
        <v>0</v>
      </c>
    </row>
    <row r="10" spans="1:2" ht="16">
      <c r="A10" s="44" t="s">
        <v>7</v>
      </c>
      <c r="B10" s="55">
        <v>0</v>
      </c>
    </row>
    <row r="11" spans="1:2" ht="16">
      <c r="A11" s="44" t="s">
        <v>8</v>
      </c>
      <c r="B11" s="55">
        <v>8696.74</v>
      </c>
    </row>
    <row r="12" spans="1:2" ht="16">
      <c r="A12" s="44" t="s">
        <v>9</v>
      </c>
      <c r="B12" s="55">
        <v>31714.8</v>
      </c>
    </row>
    <row r="13" spans="1:2" ht="16">
      <c r="A13" s="44" t="s">
        <v>10</v>
      </c>
      <c r="B13" s="55">
        <v>0</v>
      </c>
    </row>
    <row r="14" spans="1:2" ht="16">
      <c r="A14" s="45" t="s">
        <v>11</v>
      </c>
      <c r="B14" s="56">
        <f>B8+B9+B10+B11+B12+B13</f>
        <v>40411.54</v>
      </c>
    </row>
    <row r="15" spans="1:1" ht="16">
      <c r="A15" s="43" t="s">
        <v>12</v>
      </c>
    </row>
    <row r="16" spans="1:2" ht="16">
      <c r="A16" s="44" t="s">
        <v>13</v>
      </c>
      <c r="B16" s="55">
        <v>329593.77</v>
      </c>
    </row>
    <row r="17" spans="1:2" ht="16">
      <c r="A17" s="45" t="s">
        <v>14</v>
      </c>
      <c r="B17" s="56">
        <f>B15+B16</f>
        <v>329593.77</v>
      </c>
    </row>
    <row r="18" spans="1:1" ht="16">
      <c r="A18" s="43" t="s">
        <v>15</v>
      </c>
    </row>
    <row r="19" spans="1:2" ht="16">
      <c r="A19" s="44" t="s">
        <v>16</v>
      </c>
      <c r="B19" s="57">
        <v>0</v>
      </c>
    </row>
    <row r="20" spans="1:2" ht="16">
      <c r="A20" s="44" t="s">
        <v>17</v>
      </c>
      <c r="B20" s="57">
        <v>0</v>
      </c>
    </row>
    <row r="21" spans="1:2" ht="16">
      <c r="A21" s="45" t="s">
        <v>18</v>
      </c>
      <c r="B21" s="56">
        <f>B18+B19+B20</f>
        <v>0.0</v>
      </c>
    </row>
    <row r="22" spans="1:2" ht="16">
      <c r="A22" s="46" t="s">
        <v>19</v>
      </c>
      <c r="B22" s="56">
        <f>B7+B14+B17+B21</f>
        <v>370005.31</v>
      </c>
    </row>
    <row r="23" spans="1:1" ht="16">
      <c r="A23" s="42" t="s">
        <v>20</v>
      </c>
    </row>
    <row r="24" spans="1:2" ht="16">
      <c r="A24" s="43" t="s">
        <v>21</v>
      </c>
      <c r="B24" s="55">
        <v>-260.93</v>
      </c>
    </row>
    <row r="25" spans="1:2" ht="16">
      <c r="A25" s="43" t="s">
        <v>22</v>
      </c>
      <c r="B25" s="55">
        <v>1304.63</v>
      </c>
    </row>
    <row r="26" spans="1:2" ht="16">
      <c r="A26" s="43" t="s">
        <v>23</v>
      </c>
      <c r="B26" s="55">
        <v>57309.71</v>
      </c>
    </row>
    <row r="27" spans="1:2" ht="16">
      <c r="A27" s="44" t="s">
        <v>24</v>
      </c>
      <c r="B27" s="55">
        <v>-9111.53</v>
      </c>
    </row>
    <row r="28" spans="1:2" ht="16">
      <c r="A28" s="45" t="s">
        <v>25</v>
      </c>
      <c r="B28" s="56">
        <f>B26+B27</f>
        <v>48198.18</v>
      </c>
    </row>
    <row r="29" spans="1:2" ht="16">
      <c r="A29" s="43" t="s">
        <v>26</v>
      </c>
      <c r="B29" s="55">
        <v>190000.0</v>
      </c>
    </row>
    <row r="30" spans="1:2" ht="16">
      <c r="A30" s="44" t="s">
        <v>27</v>
      </c>
      <c r="B30" s="55">
        <v>-33243.0</v>
      </c>
    </row>
    <row r="31" spans="1:2" ht="16">
      <c r="A31" s="45" t="s">
        <v>28</v>
      </c>
      <c r="B31" s="56">
        <f>B29+B30</f>
        <v>156757.0</v>
      </c>
    </row>
    <row r="32" spans="1:2" ht="16">
      <c r="A32" s="43" t="s">
        <v>29</v>
      </c>
      <c r="B32" s="58"/>
    </row>
    <row r="33" spans="1:2" ht="16">
      <c r="A33" s="44" t="s">
        <v>30</v>
      </c>
      <c r="B33" s="55">
        <v>-16188.0</v>
      </c>
    </row>
    <row r="34" spans="1:2" ht="16">
      <c r="A34" s="44" t="s">
        <v>31</v>
      </c>
      <c r="B34" s="55">
        <v>-5446.98</v>
      </c>
    </row>
    <row r="35" spans="1:2" ht="16">
      <c r="A35" s="44" t="s">
        <v>32</v>
      </c>
      <c r="B35" s="55">
        <v>71395.19</v>
      </c>
    </row>
    <row r="36" spans="1:2" ht="16">
      <c r="A36" s="44" t="s">
        <v>33</v>
      </c>
      <c r="B36" s="55">
        <v>32682.0</v>
      </c>
    </row>
    <row r="37" spans="1:2" ht="16">
      <c r="A37" s="45" t="s">
        <v>34</v>
      </c>
      <c r="B37" s="56">
        <f>B32+B33+B34+B35+B36</f>
        <v>82442.21</v>
      </c>
    </row>
    <row r="38" spans="1:2" ht="16">
      <c r="A38" s="46" t="s">
        <v>35</v>
      </c>
      <c r="B38" s="56">
        <f>B23+B24+B25+B28+B31+B37</f>
        <v>288441.09</v>
      </c>
    </row>
    <row r="39" spans="1:2" ht="16">
      <c r="A39" s="47" t="s">
        <v>36</v>
      </c>
      <c r="B39" s="56">
        <f>B6+B22+B38</f>
        <v>658446.4</v>
      </c>
    </row>
    <row r="40" spans="1:1" ht="16">
      <c r="A40" s="41" t="s">
        <v>37</v>
      </c>
    </row>
    <row r="41" spans="1:1" ht="16">
      <c r="A41" s="42" t="s">
        <v>38</v>
      </c>
    </row>
    <row r="42" spans="1:1" ht="16">
      <c r="A42" s="43" t="s">
        <v>39</v>
      </c>
    </row>
    <row r="43" spans="1:1" ht="16">
      <c r="A43" s="44" t="s">
        <v>40</v>
      </c>
    </row>
    <row r="44" spans="1:2" ht="16">
      <c r="A44" s="48" t="s">
        <v>41</v>
      </c>
      <c r="B44" s="57">
        <v>0</v>
      </c>
    </row>
    <row r="45" spans="1:2" ht="16">
      <c r="A45" s="49" t="s">
        <v>42</v>
      </c>
      <c r="B45" s="56">
        <f>B43+B44</f>
        <v>0.0</v>
      </c>
    </row>
    <row r="46" spans="1:1" ht="16">
      <c r="A46" s="44" t="s">
        <v>43</v>
      </c>
    </row>
    <row r="47" spans="1:2" ht="16">
      <c r="A47" s="48" t="s">
        <v>44</v>
      </c>
      <c r="B47" s="57">
        <v>0</v>
      </c>
    </row>
    <row r="48" spans="1:2" ht="16">
      <c r="A48" s="48" t="s">
        <v>45</v>
      </c>
      <c r="B48" s="55">
        <v>17748.77</v>
      </c>
    </row>
    <row r="49" spans="1:2" ht="16">
      <c r="A49" s="49" t="s">
        <v>46</v>
      </c>
      <c r="B49" s="56">
        <f>B46+B47+B48</f>
        <v>17748.77</v>
      </c>
    </row>
    <row r="50" spans="1:1" ht="16">
      <c r="A50" s="44" t="s">
        <v>47</v>
      </c>
    </row>
    <row r="51" spans="1:2" ht="16">
      <c r="A51" s="48" t="s">
        <v>48</v>
      </c>
      <c r="B51" s="57">
        <v>0</v>
      </c>
    </row>
    <row r="52" spans="1:2" ht="16">
      <c r="A52" s="48" t="s">
        <v>49</v>
      </c>
      <c r="B52" s="55">
        <v>0.16</v>
      </c>
    </row>
    <row r="53" spans="1:2" ht="16">
      <c r="A53" s="50" t="s">
        <v>50</v>
      </c>
      <c r="B53" s="55">
        <v>1818.46</v>
      </c>
    </row>
    <row r="54" spans="1:2" ht="16">
      <c r="A54" s="50" t="s">
        <v>51</v>
      </c>
      <c r="B54" s="57">
        <v>0</v>
      </c>
    </row>
    <row r="55" spans="1:2" ht="16">
      <c r="A55" s="50" t="s">
        <v>52</v>
      </c>
      <c r="B55" s="55">
        <v>168.0</v>
      </c>
    </row>
    <row r="56" spans="1:2" ht="16">
      <c r="A56" s="50" t="s">
        <v>53</v>
      </c>
      <c r="B56" s="55">
        <v>174.84</v>
      </c>
    </row>
    <row r="57" spans="1:2" ht="16">
      <c r="A57" s="50" t="s">
        <v>54</v>
      </c>
      <c r="B57" s="55">
        <v>100.6</v>
      </c>
    </row>
    <row r="58" spans="1:2" ht="16">
      <c r="A58" s="50" t="s">
        <v>55</v>
      </c>
      <c r="B58" s="55">
        <v>13.91</v>
      </c>
    </row>
    <row r="59" spans="1:2" ht="16">
      <c r="A59" s="51" t="s">
        <v>56</v>
      </c>
      <c r="B59" s="56">
        <f>B52+B53+B54+B55+B56+B57+B58</f>
        <v>2275.97</v>
      </c>
    </row>
    <row r="60" spans="1:2" ht="16">
      <c r="A60" s="48" t="s">
        <v>57</v>
      </c>
      <c r="B60" s="58"/>
    </row>
    <row r="61" spans="1:2" ht="16">
      <c r="A61" s="50" t="s">
        <v>58</v>
      </c>
      <c r="B61" s="55">
        <v>-200.0</v>
      </c>
    </row>
    <row r="62" spans="1:2" ht="16">
      <c r="A62" s="50" t="s">
        <v>59</v>
      </c>
      <c r="B62" s="55">
        <v>200.0</v>
      </c>
    </row>
    <row r="63" spans="1:2" ht="16">
      <c r="A63" s="50" t="s">
        <v>60</v>
      </c>
      <c r="B63" s="57">
        <v>0</v>
      </c>
    </row>
    <row r="64" spans="1:2" ht="16">
      <c r="A64" s="50" t="s">
        <v>61</v>
      </c>
      <c r="B64" s="55">
        <v>200.0</v>
      </c>
    </row>
    <row r="65" spans="1:2" ht="16">
      <c r="A65" s="50" t="s">
        <v>62</v>
      </c>
      <c r="B65" s="55">
        <v>499.0</v>
      </c>
    </row>
    <row r="66" spans="1:2" ht="16">
      <c r="A66" s="50" t="s">
        <v>63</v>
      </c>
      <c r="B66" s="55">
        <v>80.0</v>
      </c>
    </row>
    <row r="67" spans="1:2" ht="16">
      <c r="A67" s="51" t="s">
        <v>64</v>
      </c>
      <c r="B67" s="56">
        <f>B60+B61+B62+B63+B64+B65+B66</f>
        <v>779.0</v>
      </c>
    </row>
    <row r="68" spans="1:2" ht="16">
      <c r="A68" s="49" t="s">
        <v>65</v>
      </c>
      <c r="B68" s="56">
        <f>B50+B51+B59+B67</f>
        <v>3054.97</v>
      </c>
    </row>
    <row r="69" spans="1:2" ht="16">
      <c r="A69" s="45" t="s">
        <v>66</v>
      </c>
      <c r="B69" s="56">
        <f>B42+B45+B49+B68</f>
        <v>20803.74</v>
      </c>
    </row>
    <row r="70" spans="1:1" ht="16">
      <c r="A70" s="43" t="s">
        <v>67</v>
      </c>
    </row>
    <row r="71" spans="1:2" ht="16">
      <c r="A71" s="44" t="s">
        <v>68</v>
      </c>
      <c r="B71" s="58"/>
    </row>
    <row r="72" spans="1:2" ht="16">
      <c r="A72" s="48" t="s">
        <v>69</v>
      </c>
      <c r="B72" s="55">
        <v>118351.67</v>
      </c>
    </row>
    <row r="73" spans="1:2" ht="16">
      <c r="A73" s="48" t="s">
        <v>70</v>
      </c>
      <c r="B73" s="55">
        <v>165665.01</v>
      </c>
    </row>
    <row r="74" spans="1:2" ht="16">
      <c r="A74" s="48" t="s">
        <v>71</v>
      </c>
      <c r="B74" s="55">
        <v>25000.0</v>
      </c>
    </row>
    <row r="75" spans="1:2" ht="16">
      <c r="A75" s="48" t="s">
        <v>72</v>
      </c>
      <c r="B75" s="57">
        <v>0</v>
      </c>
    </row>
    <row r="76" spans="1:2" ht="16">
      <c r="A76" s="48" t="s">
        <v>73</v>
      </c>
      <c r="B76" s="55">
        <v>46486.09</v>
      </c>
    </row>
    <row r="77" spans="1:2" ht="16">
      <c r="A77" s="49" t="s">
        <v>74</v>
      </c>
      <c r="B77" s="56">
        <f>B71+B72+B73+B74+B75+B76</f>
        <v>355502.77</v>
      </c>
    </row>
    <row r="78" spans="1:2" ht="16">
      <c r="A78" s="45" t="s">
        <v>75</v>
      </c>
      <c r="B78" s="56">
        <f>B70+B77</f>
        <v>355502.77</v>
      </c>
    </row>
    <row r="79" spans="1:2" ht="16">
      <c r="A79" s="46" t="s">
        <v>76</v>
      </c>
      <c r="B79" s="56">
        <f>B41+B69+B78</f>
        <v>376306.51</v>
      </c>
    </row>
    <row r="80" spans="1:1" ht="16">
      <c r="A80" s="42" t="s">
        <v>77</v>
      </c>
    </row>
    <row r="81" spans="1:2" ht="16">
      <c r="A81" s="43" t="s">
        <v>78</v>
      </c>
      <c r="B81" s="55">
        <v>210240.29</v>
      </c>
    </row>
    <row r="82" spans="1:2" ht="16">
      <c r="A82" s="43" t="s">
        <v>79</v>
      </c>
      <c r="B82" s="55">
        <v>-130784.7</v>
      </c>
    </row>
    <row r="83" spans="1:2" ht="16">
      <c r="A83" s="43" t="s">
        <v>80</v>
      </c>
      <c r="B83" s="55">
        <v>266637.67</v>
      </c>
    </row>
    <row r="84" spans="1:2" ht="16">
      <c r="A84" s="43" t="s">
        <v>81</v>
      </c>
      <c r="B84" s="55">
        <v>-63953.369999999995</v>
      </c>
    </row>
    <row r="85" spans="1:2" ht="16">
      <c r="A85" s="46" t="s">
        <v>82</v>
      </c>
      <c r="B85" s="56">
        <f>B80+B81+B82+B83+B84</f>
        <v>282139.89</v>
      </c>
    </row>
    <row r="86" spans="1:2" ht="16">
      <c r="A86" s="47" t="s">
        <v>83</v>
      </c>
      <c r="B86" s="56">
        <f>B40+B79+B85</f>
        <v>658446.4</v>
      </c>
    </row>
    <row r="90" spans="1:1" ht="16">
      <c r="A90" s="60" t="s">
        <v>86</v>
      </c>
    </row>
  </sheetData>
  <mergeCells count="4">
    <mergeCell ref="A1:B1"/>
    <mergeCell ref="A2:B2"/>
    <mergeCell ref="A3:B3"/>
    <mergeCell ref="A90:B90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