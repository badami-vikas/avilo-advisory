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b0649b05baec29/Documents/Avilo/Reporting template/Import/Restopros STL 7126/"/>
    </mc:Choice>
  </mc:AlternateContent>
  <xr:revisionPtr revIDLastSave="8" documentId="11_246C8956D107E26F9009E9B7926E99EBF3FD86B2" xr6:coauthVersionLast="47" xr6:coauthVersionMax="47" xr10:uidLastSave="{659CF2CC-7619-4381-B887-0C60EE8419DD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" i="1" l="1"/>
  <c r="I71" i="1"/>
  <c r="H71" i="1"/>
  <c r="N70" i="1"/>
  <c r="N71" i="1" s="1"/>
  <c r="M70" i="1"/>
  <c r="M71" i="1" s="1"/>
  <c r="L70" i="1"/>
  <c r="L71" i="1" s="1"/>
  <c r="K70" i="1"/>
  <c r="K71" i="1" s="1"/>
  <c r="J70" i="1"/>
  <c r="J71" i="1" s="1"/>
  <c r="I70" i="1"/>
  <c r="H70" i="1"/>
  <c r="G70" i="1"/>
  <c r="G71" i="1" s="1"/>
  <c r="F70" i="1"/>
  <c r="F71" i="1" s="1"/>
  <c r="E70" i="1"/>
  <c r="E71" i="1" s="1"/>
  <c r="D70" i="1"/>
  <c r="D71" i="1" s="1"/>
  <c r="C70" i="1"/>
  <c r="C71" i="1" s="1"/>
  <c r="B70" i="1"/>
  <c r="O70" i="1" s="1"/>
  <c r="O69" i="1"/>
  <c r="O68" i="1"/>
  <c r="O67" i="1"/>
  <c r="I63" i="1"/>
  <c r="F63" i="1"/>
  <c r="O62" i="1"/>
  <c r="O61" i="1"/>
  <c r="O60" i="1"/>
  <c r="O59" i="1"/>
  <c r="O58" i="1"/>
  <c r="O57" i="1"/>
  <c r="O56" i="1"/>
  <c r="O55" i="1"/>
  <c r="O54" i="1"/>
  <c r="O53" i="1"/>
  <c r="O52" i="1"/>
  <c r="J51" i="1"/>
  <c r="J63" i="1" s="1"/>
  <c r="I51" i="1"/>
  <c r="H51" i="1"/>
  <c r="G51" i="1"/>
  <c r="F51" i="1"/>
  <c r="O50" i="1"/>
  <c r="O49" i="1"/>
  <c r="O48" i="1"/>
  <c r="N47" i="1"/>
  <c r="N51" i="1" s="1"/>
  <c r="M47" i="1"/>
  <c r="M51" i="1" s="1"/>
  <c r="L47" i="1"/>
  <c r="L51" i="1" s="1"/>
  <c r="K47" i="1"/>
  <c r="K51" i="1" s="1"/>
  <c r="J47" i="1"/>
  <c r="I47" i="1"/>
  <c r="H47" i="1"/>
  <c r="G47" i="1"/>
  <c r="F47" i="1"/>
  <c r="E47" i="1"/>
  <c r="E51" i="1" s="1"/>
  <c r="D47" i="1"/>
  <c r="D51" i="1" s="1"/>
  <c r="C47" i="1"/>
  <c r="O47" i="1" s="1"/>
  <c r="B47" i="1"/>
  <c r="B51" i="1" s="1"/>
  <c r="O46" i="1"/>
  <c r="O44" i="1"/>
  <c r="O43" i="1"/>
  <c r="O42" i="1"/>
  <c r="O41" i="1"/>
  <c r="O40" i="1"/>
  <c r="O39" i="1"/>
  <c r="O38" i="1"/>
  <c r="O37" i="1"/>
  <c r="O36" i="1"/>
  <c r="N35" i="1"/>
  <c r="M35" i="1"/>
  <c r="L35" i="1"/>
  <c r="L63" i="1" s="1"/>
  <c r="K35" i="1"/>
  <c r="J35" i="1"/>
  <c r="I35" i="1"/>
  <c r="H35" i="1"/>
  <c r="G35" i="1"/>
  <c r="F35" i="1"/>
  <c r="E35" i="1"/>
  <c r="D35" i="1"/>
  <c r="C35" i="1"/>
  <c r="O35" i="1" s="1"/>
  <c r="B35" i="1"/>
  <c r="O34" i="1"/>
  <c r="O33" i="1"/>
  <c r="N32" i="1"/>
  <c r="N63" i="1" s="1"/>
  <c r="M32" i="1"/>
  <c r="L32" i="1"/>
  <c r="K32" i="1"/>
  <c r="J32" i="1"/>
  <c r="I32" i="1"/>
  <c r="H32" i="1"/>
  <c r="H63" i="1" s="1"/>
  <c r="G32" i="1"/>
  <c r="G63" i="1" s="1"/>
  <c r="F32" i="1"/>
  <c r="E32" i="1"/>
  <c r="E63" i="1" s="1"/>
  <c r="D32" i="1"/>
  <c r="D63" i="1" s="1"/>
  <c r="C32" i="1"/>
  <c r="O32" i="1" s="1"/>
  <c r="B32" i="1"/>
  <c r="B63" i="1" s="1"/>
  <c r="O31" i="1"/>
  <c r="O30" i="1"/>
  <c r="O29" i="1"/>
  <c r="O28" i="1"/>
  <c r="M26" i="1"/>
  <c r="M25" i="1"/>
  <c r="L25" i="1"/>
  <c r="K25" i="1"/>
  <c r="E25" i="1"/>
  <c r="O24" i="1"/>
  <c r="N23" i="1"/>
  <c r="N25" i="1" s="1"/>
  <c r="N26" i="1" s="1"/>
  <c r="N64" i="1" s="1"/>
  <c r="N72" i="1" s="1"/>
  <c r="M23" i="1"/>
  <c r="L23" i="1"/>
  <c r="K23" i="1"/>
  <c r="J23" i="1"/>
  <c r="I23" i="1"/>
  <c r="H23" i="1"/>
  <c r="G23" i="1"/>
  <c r="F23" i="1"/>
  <c r="E23" i="1"/>
  <c r="D23" i="1"/>
  <c r="D25" i="1" s="1"/>
  <c r="C23" i="1"/>
  <c r="C25" i="1" s="1"/>
  <c r="B23" i="1"/>
  <c r="B25" i="1" s="1"/>
  <c r="O22" i="1"/>
  <c r="O21" i="1"/>
  <c r="N19" i="1"/>
  <c r="M19" i="1"/>
  <c r="L19" i="1"/>
  <c r="K19" i="1"/>
  <c r="J19" i="1"/>
  <c r="J25" i="1" s="1"/>
  <c r="J26" i="1" s="1"/>
  <c r="J64" i="1" s="1"/>
  <c r="J72" i="1" s="1"/>
  <c r="I19" i="1"/>
  <c r="I25" i="1" s="1"/>
  <c r="I26" i="1" s="1"/>
  <c r="I64" i="1" s="1"/>
  <c r="I72" i="1" s="1"/>
  <c r="H19" i="1"/>
  <c r="H25" i="1" s="1"/>
  <c r="G19" i="1"/>
  <c r="G25" i="1" s="1"/>
  <c r="F19" i="1"/>
  <c r="F25" i="1" s="1"/>
  <c r="E19" i="1"/>
  <c r="D19" i="1"/>
  <c r="C19" i="1"/>
  <c r="B19" i="1"/>
  <c r="O19" i="1" s="1"/>
  <c r="O18" i="1"/>
  <c r="O17" i="1"/>
  <c r="O16" i="1"/>
  <c r="N13" i="1"/>
  <c r="M13" i="1"/>
  <c r="L13" i="1"/>
  <c r="L26" i="1" s="1"/>
  <c r="K13" i="1"/>
  <c r="K26" i="1" s="1"/>
  <c r="J13" i="1"/>
  <c r="I13" i="1"/>
  <c r="H13" i="1"/>
  <c r="H26" i="1" s="1"/>
  <c r="G13" i="1"/>
  <c r="G26" i="1" s="1"/>
  <c r="G64" i="1" s="1"/>
  <c r="G72" i="1" s="1"/>
  <c r="F13" i="1"/>
  <c r="F26" i="1" s="1"/>
  <c r="F64" i="1" s="1"/>
  <c r="E13" i="1"/>
  <c r="E26" i="1" s="1"/>
  <c r="E64" i="1" s="1"/>
  <c r="E72" i="1" s="1"/>
  <c r="D13" i="1"/>
  <c r="D26" i="1" s="1"/>
  <c r="D64" i="1" s="1"/>
  <c r="D72" i="1" s="1"/>
  <c r="C13" i="1"/>
  <c r="O13" i="1" s="1"/>
  <c r="B13" i="1"/>
  <c r="O12" i="1"/>
  <c r="O11" i="1"/>
  <c r="O10" i="1"/>
  <c r="O9" i="1"/>
  <c r="O8" i="1"/>
  <c r="O7" i="1"/>
  <c r="F72" i="1" l="1"/>
  <c r="K63" i="1"/>
  <c r="H64" i="1"/>
  <c r="H72" i="1" s="1"/>
  <c r="B26" i="1"/>
  <c r="O25" i="1"/>
  <c r="L64" i="1"/>
  <c r="L72" i="1" s="1"/>
  <c r="M63" i="1"/>
  <c r="M64" i="1" s="1"/>
  <c r="M72" i="1" s="1"/>
  <c r="K64" i="1"/>
  <c r="K72" i="1" s="1"/>
  <c r="C51" i="1"/>
  <c r="C63" i="1" s="1"/>
  <c r="O63" i="1" s="1"/>
  <c r="B71" i="1"/>
  <c r="O71" i="1" s="1"/>
  <c r="O23" i="1"/>
  <c r="C26" i="1"/>
  <c r="O51" i="1" l="1"/>
  <c r="O26" i="1"/>
  <c r="B64" i="1"/>
  <c r="C64" i="1"/>
  <c r="C72" i="1" s="1"/>
  <c r="B72" i="1" l="1"/>
  <c r="O72" i="1" s="1"/>
  <c r="O64" i="1"/>
</calcChain>
</file>

<file path=xl/sharedStrings.xml><?xml version="1.0" encoding="utf-8"?>
<sst xmlns="http://schemas.openxmlformats.org/spreadsheetml/2006/main" count="86" uniqueCount="86">
  <si>
    <t>RestoPros - St. Louis, MO</t>
  </si>
  <si>
    <t>Profit and Loss by Month</t>
  </si>
  <si>
    <t>June 1, 2025-June 30, 2026</t>
  </si>
  <si>
    <t>Income</t>
  </si>
  <si>
    <t>Discounts given</t>
  </si>
  <si>
    <t>Mitigation Estimate Adjustment</t>
  </si>
  <si>
    <t>Mitigation Sales</t>
  </si>
  <si>
    <t>Rebuild Estimate Adjustment</t>
  </si>
  <si>
    <t>Rebuild Referral Income</t>
  </si>
  <si>
    <t>Rebuild Sales</t>
  </si>
  <si>
    <t>Total for Income</t>
  </si>
  <si>
    <t>Cost of Goods Sold</t>
  </si>
  <si>
    <t>Mitigation Cost of Sales</t>
  </si>
  <si>
    <t>Mitigation Contract labor</t>
  </si>
  <si>
    <t>Mitigation - Outside Services</t>
  </si>
  <si>
    <t>Mitigation Supplies &amp; Materials</t>
  </si>
  <si>
    <t>Total for Mitigation Cost of Sales</t>
  </si>
  <si>
    <t>Rebuild cost of sales</t>
  </si>
  <si>
    <t>Rebuild subcontractors</t>
  </si>
  <si>
    <t>Rebuild supplies</t>
  </si>
  <si>
    <t>Total for Rebuild cost of sales</t>
  </si>
  <si>
    <t>Referral Sources</t>
  </si>
  <si>
    <t>Total for Cost of Goods Sold</t>
  </si>
  <si>
    <t>Gross Profit</t>
  </si>
  <si>
    <t>Expenses</t>
  </si>
  <si>
    <t>Advertising &amp; Marketing</t>
  </si>
  <si>
    <t>Bad Debt Expense</t>
  </si>
  <si>
    <t>Bank Charges &amp; Fees</t>
  </si>
  <si>
    <t>Credit Card rewards</t>
  </si>
  <si>
    <t>Total for Bank Charges &amp; Fees</t>
  </si>
  <si>
    <t>Car &amp; Truck</t>
  </si>
  <si>
    <t>Repair &amp; Maintenance</t>
  </si>
  <si>
    <t>Total for Car &amp; Truck</t>
  </si>
  <si>
    <t>Client Development</t>
  </si>
  <si>
    <t>Franchisor fees (incl. royalties)</t>
  </si>
  <si>
    <t>Insurance</t>
  </si>
  <si>
    <t>Interest Expense</t>
  </si>
  <si>
    <t>Legal &amp; Professional Services</t>
  </si>
  <si>
    <t>Non-Client Facing Meals</t>
  </si>
  <si>
    <t>Office Supplies</t>
  </si>
  <si>
    <t>Other fees</t>
  </si>
  <si>
    <t>Payroll Expenses</t>
  </si>
  <si>
    <t>Company Contributions</t>
  </si>
  <si>
    <t>Health Insurance</t>
  </si>
  <si>
    <t>Total for Company Contributions</t>
  </si>
  <si>
    <t>Taxes</t>
  </si>
  <si>
    <t>Wages</t>
  </si>
  <si>
    <t>Workers Comp</t>
  </si>
  <si>
    <t>Total for Payroll Expenses</t>
  </si>
  <si>
    <t>Printing</t>
  </si>
  <si>
    <t>QuickBooks Payments Fees</t>
  </si>
  <si>
    <t>Recruiting</t>
  </si>
  <si>
    <t>Reimbursements</t>
  </si>
  <si>
    <t>Rent &amp; Lease</t>
  </si>
  <si>
    <t>Software</t>
  </si>
  <si>
    <t>Staff Events</t>
  </si>
  <si>
    <t>Telephone</t>
  </si>
  <si>
    <t>Training</t>
  </si>
  <si>
    <t>Travel</t>
  </si>
  <si>
    <t>Uniforms</t>
  </si>
  <si>
    <t>Total for Expenses</t>
  </si>
  <si>
    <t>Net Operating Income</t>
  </si>
  <si>
    <t>Other Income</t>
  </si>
  <si>
    <t>Other Expenses</t>
  </si>
  <si>
    <t>Amortization</t>
  </si>
  <si>
    <t>Depreciation</t>
  </si>
  <si>
    <t>Taxes &amp; Licenses</t>
  </si>
  <si>
    <t>Total for Other Expenses</t>
  </si>
  <si>
    <t>Net Other Income</t>
  </si>
  <si>
    <t>Net Income</t>
  </si>
  <si>
    <t/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</si>
  <si>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</si>
  <si>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</si>
  <si>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</si>
  <si>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</si>
  <si>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</si>
  <si>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</si>
  <si>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</si>
  <si>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</si>
  <si>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</si>
  <si>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</si>
  <si>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</si>
  <si>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</si>
  <si>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</si>
  <si>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Total</t>
  </si>
  <si>
    <t>Accrual Basis Wednesday, July 01, 2026 09:15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</si>
</sst>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4" fontId="4" fillId="0" borderId="2" xfId="0" applyNumberFormat="1" applyFont="1" applyBorder="1" applyAlignment="1">
      <alignment wrapText="1"/>
    </xf>
    <xf numFmtId="164" fontId="4" fillId="0" borderId="2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4" fontId="4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P76"/>
  <sheetViews>
    <sheetView tabSelected="1" workbookViewId="0">
      <selection activeCell="O15" sqref="O15"/>
    </sheetView>
  </sheetViews>
  <sheetFormatPr defaultColWidth="11.296875" defaultRowHeight="15.6" x14ac:dyDescent="0.3"/>
  <cols>
    <col min="1" max="1" width="29.8984375" style="1" customWidth="1"/>
    <col min="2" max="2" width="17" style="1" customWidth="1"/>
    <col min="3" max="3" width="17" style="1" hidden="1" customWidth="1"/>
    <col min="4" max="4" width="16.09765625" style="1" hidden="1" customWidth="1"/>
    <col min="5" max="13" width="17" style="1" hidden="1" customWidth="1"/>
    <col min="14" max="14" width="17" style="1" customWidth="1"/>
    <col min="15" max="15" width="16.09765625" style="1" customWidth="1"/>
  </cols>
  <sheetData>
    <row r="1" spans="1:15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x14ac:dyDescent="0.3">
      <c r="A3" s="19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5" spans="1:15" x14ac:dyDescent="0.3">
      <c r="A5" s="9" t="s">
        <v>70</v>
      </c>
      <c r="B5" s="9" t="s">
        <v>71</v>
      </c>
      <c r="C5" s="9" t="s">
        <v>72</v>
      </c>
      <c r="D5" s="9" t="s">
        <v>73</v>
      </c>
      <c r="E5" s="9" t="s">
        <v>74</v>
      </c>
      <c r="F5" s="9" t="s">
        <v>75</v>
      </c>
      <c r="G5" s="9" t="s">
        <v>76</v>
      </c>
      <c r="H5" s="9" t="s">
        <v>77</v>
      </c>
      <c r="I5" s="9" t="s">
        <v>78</v>
      </c>
      <c r="J5" s="9" t="s">
        <v>79</v>
      </c>
      <c r="K5" s="9" t="s">
        <v>80</v>
      </c>
      <c r="L5" s="9" t="s">
        <v>81</v>
      </c>
      <c r="M5" s="9" t="s">
        <v>82</v>
      </c>
      <c r="N5" s="9" t="s">
        <v>83</v>
      </c>
      <c r="O5" s="9" t="s">
        <v>84</v>
      </c>
    </row>
    <row r="6" spans="1:15" x14ac:dyDescent="0.3">
      <c r="A6" s="2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5" x14ac:dyDescent="0.3">
      <c r="A7" s="3" t="s">
        <v>4</v>
      </c>
      <c r="B7" s="11">
        <v>-1000</v>
      </c>
      <c r="C7" s="10"/>
      <c r="D7" s="11">
        <v>-80</v>
      </c>
      <c r="E7" s="10"/>
      <c r="F7" s="10"/>
      <c r="G7" s="10"/>
      <c r="H7" s="10"/>
      <c r="I7" s="10"/>
      <c r="J7" s="10"/>
      <c r="K7" s="11">
        <v>-1000</v>
      </c>
      <c r="L7" s="10"/>
      <c r="M7" s="10"/>
      <c r="N7" s="10"/>
      <c r="O7" s="11">
        <f t="shared" ref="O7:O13" si="0">B7+C7+D7+E7+F7+G7+H7+I7+J7+K7+L7+M7+N7</f>
        <v>-2080</v>
      </c>
    </row>
    <row r="8" spans="1:15" x14ac:dyDescent="0.3">
      <c r="A8" s="3" t="s">
        <v>5</v>
      </c>
      <c r="B8" s="10"/>
      <c r="C8" s="10"/>
      <c r="D8" s="11">
        <v>-32336.79</v>
      </c>
      <c r="E8" s="10"/>
      <c r="F8" s="11">
        <v>-1718.88</v>
      </c>
      <c r="G8" s="10"/>
      <c r="H8" s="10"/>
      <c r="I8" s="11">
        <v>-6616.43</v>
      </c>
      <c r="J8" s="10"/>
      <c r="K8" s="10"/>
      <c r="L8" s="10"/>
      <c r="M8" s="10"/>
      <c r="N8" s="10"/>
      <c r="O8" s="11">
        <f t="shared" si="0"/>
        <v>-40672.1</v>
      </c>
    </row>
    <row r="9" spans="1:15" x14ac:dyDescent="0.3">
      <c r="A9" s="3" t="s">
        <v>6</v>
      </c>
      <c r="B9" s="11">
        <v>15981.96</v>
      </c>
      <c r="C9" s="11">
        <v>19700</v>
      </c>
      <c r="D9" s="11">
        <v>403987.68</v>
      </c>
      <c r="E9" s="11">
        <v>190595.68</v>
      </c>
      <c r="F9" s="11">
        <v>135855.69</v>
      </c>
      <c r="G9" s="11">
        <v>22349.62</v>
      </c>
      <c r="H9" s="11">
        <v>103991.56</v>
      </c>
      <c r="I9" s="11">
        <v>47018.96</v>
      </c>
      <c r="J9" s="11">
        <v>19183.02</v>
      </c>
      <c r="K9" s="11">
        <v>47295.1</v>
      </c>
      <c r="L9" s="11">
        <v>8060.61</v>
      </c>
      <c r="M9" s="11">
        <v>27152.16</v>
      </c>
      <c r="N9" s="11">
        <v>41742.160000000003</v>
      </c>
      <c r="O9" s="11">
        <f t="shared" si="0"/>
        <v>1082914.2</v>
      </c>
    </row>
    <row r="10" spans="1:15" x14ac:dyDescent="0.3">
      <c r="A10" s="3" t="s">
        <v>7</v>
      </c>
      <c r="B10" s="10"/>
      <c r="C10" s="10"/>
      <c r="D10" s="10"/>
      <c r="E10" s="10"/>
      <c r="F10" s="11">
        <v>-1118.9000000000001</v>
      </c>
      <c r="G10" s="10"/>
      <c r="H10" s="10"/>
      <c r="I10" s="10"/>
      <c r="J10" s="10"/>
      <c r="K10" s="10"/>
      <c r="L10" s="10"/>
      <c r="M10" s="10"/>
      <c r="N10" s="10"/>
      <c r="O10" s="11">
        <f t="shared" si="0"/>
        <v>-1118.9000000000001</v>
      </c>
    </row>
    <row r="11" spans="1:15" x14ac:dyDescent="0.3">
      <c r="A11" s="3" t="s">
        <v>8</v>
      </c>
      <c r="B11" s="10"/>
      <c r="C11" s="10"/>
      <c r="D11" s="10"/>
      <c r="E11" s="10"/>
      <c r="F11" s="11">
        <v>225</v>
      </c>
      <c r="G11" s="10"/>
      <c r="H11" s="10"/>
      <c r="I11" s="10"/>
      <c r="J11" s="10"/>
      <c r="K11" s="10"/>
      <c r="L11" s="10"/>
      <c r="M11" s="10"/>
      <c r="N11" s="10"/>
      <c r="O11" s="11">
        <f t="shared" si="0"/>
        <v>225</v>
      </c>
    </row>
    <row r="12" spans="1:15" x14ac:dyDescent="0.3">
      <c r="A12" s="3" t="s">
        <v>9</v>
      </c>
      <c r="B12" s="10"/>
      <c r="C12" s="10"/>
      <c r="D12" s="11">
        <v>9310.52</v>
      </c>
      <c r="E12" s="10"/>
      <c r="F12" s="11">
        <v>22080.560000000001</v>
      </c>
      <c r="G12" s="10"/>
      <c r="H12" s="11">
        <v>1737.41</v>
      </c>
      <c r="I12" s="11">
        <v>4466.04</v>
      </c>
      <c r="J12" s="10"/>
      <c r="K12" s="11">
        <v>31203.48</v>
      </c>
      <c r="L12" s="11">
        <v>4466.04</v>
      </c>
      <c r="M12" s="11">
        <v>20000</v>
      </c>
      <c r="N12" s="11">
        <v>2746.36</v>
      </c>
      <c r="O12" s="11">
        <f t="shared" si="0"/>
        <v>96010.41</v>
      </c>
    </row>
    <row r="13" spans="1:15" x14ac:dyDescent="0.3">
      <c r="A13" s="4" t="s">
        <v>10</v>
      </c>
      <c r="B13" s="12">
        <f t="shared" ref="B13:N13" si="1">B6+B7+B8+B9+B10+B11+B12</f>
        <v>14981.96</v>
      </c>
      <c r="C13" s="12">
        <f t="shared" si="1"/>
        <v>19700</v>
      </c>
      <c r="D13" s="12">
        <f t="shared" si="1"/>
        <v>380881.41000000003</v>
      </c>
      <c r="E13" s="12">
        <f t="shared" si="1"/>
        <v>190595.68</v>
      </c>
      <c r="F13" s="12">
        <f t="shared" si="1"/>
        <v>155323.47</v>
      </c>
      <c r="G13" s="12">
        <f t="shared" si="1"/>
        <v>22349.62</v>
      </c>
      <c r="H13" s="12">
        <f t="shared" si="1"/>
        <v>105728.97</v>
      </c>
      <c r="I13" s="12">
        <f t="shared" si="1"/>
        <v>44868.57</v>
      </c>
      <c r="J13" s="12">
        <f t="shared" si="1"/>
        <v>19183.02</v>
      </c>
      <c r="K13" s="12">
        <f t="shared" si="1"/>
        <v>77498.58</v>
      </c>
      <c r="L13" s="12">
        <f t="shared" si="1"/>
        <v>12526.65</v>
      </c>
      <c r="M13" s="12">
        <f t="shared" si="1"/>
        <v>47152.160000000003</v>
      </c>
      <c r="N13" s="12">
        <f t="shared" si="1"/>
        <v>44488.520000000004</v>
      </c>
      <c r="O13" s="13">
        <f t="shared" si="0"/>
        <v>1135278.6099999999</v>
      </c>
    </row>
    <row r="14" spans="1:15" x14ac:dyDescent="0.3">
      <c r="A14" s="2" t="s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5" x14ac:dyDescent="0.3">
      <c r="A15" s="3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3">
      <c r="A16" s="5" t="s">
        <v>13</v>
      </c>
      <c r="B16" s="11">
        <v>10737.16</v>
      </c>
      <c r="C16" s="11">
        <v>50</v>
      </c>
      <c r="D16" s="11">
        <v>7676.36</v>
      </c>
      <c r="E16" s="11">
        <v>726.25</v>
      </c>
      <c r="F16" s="11">
        <v>3797.34</v>
      </c>
      <c r="G16" s="11">
        <v>2264.87</v>
      </c>
      <c r="H16" s="11">
        <v>2448.08</v>
      </c>
      <c r="I16" s="11">
        <v>2260.08</v>
      </c>
      <c r="J16" s="11">
        <v>827.63</v>
      </c>
      <c r="K16" s="10"/>
      <c r="L16" s="10"/>
      <c r="M16" s="10"/>
      <c r="N16" s="10"/>
      <c r="O16" s="11">
        <f>B16+C16+D16+E16+F16+G16+H16+I16+J16+K16+L16+M16+N16</f>
        <v>30787.77</v>
      </c>
    </row>
    <row r="17" spans="1:15" x14ac:dyDescent="0.3">
      <c r="A17" s="5" t="s">
        <v>14</v>
      </c>
      <c r="B17" s="11">
        <v>13245.71</v>
      </c>
      <c r="C17" s="11">
        <v>18549.400000000001</v>
      </c>
      <c r="D17" s="11">
        <v>25021.4</v>
      </c>
      <c r="E17" s="11">
        <v>8386.31</v>
      </c>
      <c r="F17" s="11">
        <v>10651.77</v>
      </c>
      <c r="G17" s="11">
        <v>163.34</v>
      </c>
      <c r="H17" s="11">
        <v>5090.53</v>
      </c>
      <c r="I17" s="10"/>
      <c r="J17" s="11">
        <v>2849.22</v>
      </c>
      <c r="K17" s="11">
        <v>26794.03</v>
      </c>
      <c r="L17" s="11">
        <v>4242.5200000000004</v>
      </c>
      <c r="M17" s="11">
        <v>868.08</v>
      </c>
      <c r="N17" s="11">
        <v>226.03</v>
      </c>
      <c r="O17" s="11">
        <f>B17+C17+D17+E17+F17+G17+H17+I17+J17+K17+L17+M17+N17</f>
        <v>116088.34</v>
      </c>
    </row>
    <row r="18" spans="1:15" x14ac:dyDescent="0.3">
      <c r="A18" s="5" t="s">
        <v>15</v>
      </c>
      <c r="B18" s="11">
        <v>4525.4399999999996</v>
      </c>
      <c r="C18" s="11">
        <v>15738.54</v>
      </c>
      <c r="D18" s="11">
        <v>5077.6000000000004</v>
      </c>
      <c r="E18" s="11">
        <v>4211.09</v>
      </c>
      <c r="F18" s="11">
        <v>7930.06</v>
      </c>
      <c r="G18" s="11">
        <v>4910.24</v>
      </c>
      <c r="H18" s="11">
        <v>16810.86</v>
      </c>
      <c r="I18" s="11">
        <v>5968.27</v>
      </c>
      <c r="J18" s="11">
        <v>1244.28</v>
      </c>
      <c r="K18" s="11">
        <v>4098.5</v>
      </c>
      <c r="L18" s="11">
        <v>1483.51</v>
      </c>
      <c r="M18" s="11">
        <v>1645.98</v>
      </c>
      <c r="N18" s="11">
        <v>3081.42</v>
      </c>
      <c r="O18" s="11">
        <f>B18+C18+D18+E18+F18+G18+H18+I18+J18+K18+L18+M18+N18</f>
        <v>76725.789999999994</v>
      </c>
    </row>
    <row r="19" spans="1:15" x14ac:dyDescent="0.3">
      <c r="A19" s="6" t="s">
        <v>16</v>
      </c>
      <c r="B19" s="12">
        <f t="shared" ref="B19:N19" si="2">B15+B16+B17+B18</f>
        <v>28508.309999999998</v>
      </c>
      <c r="C19" s="12">
        <f t="shared" si="2"/>
        <v>34337.94</v>
      </c>
      <c r="D19" s="12">
        <f t="shared" si="2"/>
        <v>37775.360000000001</v>
      </c>
      <c r="E19" s="12">
        <f t="shared" si="2"/>
        <v>13323.65</v>
      </c>
      <c r="F19" s="12">
        <f t="shared" si="2"/>
        <v>22379.170000000002</v>
      </c>
      <c r="G19" s="12">
        <f t="shared" si="2"/>
        <v>7338.45</v>
      </c>
      <c r="H19" s="12">
        <f t="shared" si="2"/>
        <v>24349.47</v>
      </c>
      <c r="I19" s="12">
        <f t="shared" si="2"/>
        <v>8228.35</v>
      </c>
      <c r="J19" s="12">
        <f t="shared" si="2"/>
        <v>4921.13</v>
      </c>
      <c r="K19" s="12">
        <f t="shared" si="2"/>
        <v>30892.53</v>
      </c>
      <c r="L19" s="12">
        <f t="shared" si="2"/>
        <v>5726.0300000000007</v>
      </c>
      <c r="M19" s="12">
        <f t="shared" si="2"/>
        <v>2514.06</v>
      </c>
      <c r="N19" s="12">
        <f t="shared" si="2"/>
        <v>3307.4500000000003</v>
      </c>
      <c r="O19" s="13">
        <f>B19+C19+D19+E19+F19+G19+H19+I19+J19+K19+L19+M19+N19</f>
        <v>223601.90000000002</v>
      </c>
    </row>
    <row r="20" spans="1:15" x14ac:dyDescent="0.3">
      <c r="A20" s="3" t="s">
        <v>17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3">
      <c r="A21" s="5" t="s">
        <v>18</v>
      </c>
      <c r="B21" s="10"/>
      <c r="C21" s="10"/>
      <c r="D21" s="11">
        <v>4778.7</v>
      </c>
      <c r="E21" s="11">
        <v>4135</v>
      </c>
      <c r="F21" s="11">
        <v>5550</v>
      </c>
      <c r="G21" s="11">
        <v>8720.56</v>
      </c>
      <c r="H21" s="10"/>
      <c r="I21" s="10"/>
      <c r="J21" s="11">
        <v>1228.6199999999999</v>
      </c>
      <c r="K21" s="11">
        <v>10438.89</v>
      </c>
      <c r="L21" s="11">
        <v>15278.57</v>
      </c>
      <c r="M21" s="10"/>
      <c r="N21" s="10"/>
      <c r="O21" s="11">
        <f t="shared" ref="O21:O26" si="3">B21+C21+D21+E21+F21+G21+H21+I21+J21+K21+L21+M21+N21</f>
        <v>50130.340000000004</v>
      </c>
    </row>
    <row r="22" spans="1:15" x14ac:dyDescent="0.3">
      <c r="A22" s="5" t="s">
        <v>19</v>
      </c>
      <c r="B22" s="10"/>
      <c r="C22" s="10"/>
      <c r="D22" s="11">
        <v>5324.62</v>
      </c>
      <c r="E22" s="10"/>
      <c r="F22" s="11">
        <v>2907.14</v>
      </c>
      <c r="G22" s="11">
        <v>563.76</v>
      </c>
      <c r="H22" s="10"/>
      <c r="I22" s="10"/>
      <c r="J22" s="11">
        <v>1597.67</v>
      </c>
      <c r="K22" s="11">
        <v>6142.22</v>
      </c>
      <c r="L22" s="11">
        <v>8.09</v>
      </c>
      <c r="M22" s="10"/>
      <c r="N22" s="10"/>
      <c r="O22" s="11">
        <f t="shared" si="3"/>
        <v>16543.5</v>
      </c>
    </row>
    <row r="23" spans="1:15" x14ac:dyDescent="0.3">
      <c r="A23" s="6" t="s">
        <v>20</v>
      </c>
      <c r="B23" s="13">
        <f t="shared" ref="B23:N23" si="4">B20+B21+B22</f>
        <v>0</v>
      </c>
      <c r="C23" s="13">
        <f t="shared" si="4"/>
        <v>0</v>
      </c>
      <c r="D23" s="12">
        <f t="shared" si="4"/>
        <v>10103.32</v>
      </c>
      <c r="E23" s="12">
        <f t="shared" si="4"/>
        <v>4135</v>
      </c>
      <c r="F23" s="12">
        <f t="shared" si="4"/>
        <v>8457.14</v>
      </c>
      <c r="G23" s="12">
        <f t="shared" si="4"/>
        <v>9284.32</v>
      </c>
      <c r="H23" s="13">
        <f t="shared" si="4"/>
        <v>0</v>
      </c>
      <c r="I23" s="13">
        <f t="shared" si="4"/>
        <v>0</v>
      </c>
      <c r="J23" s="12">
        <f t="shared" si="4"/>
        <v>2826.29</v>
      </c>
      <c r="K23" s="12">
        <f t="shared" si="4"/>
        <v>16581.11</v>
      </c>
      <c r="L23" s="12">
        <f t="shared" si="4"/>
        <v>15286.66</v>
      </c>
      <c r="M23" s="13">
        <f t="shared" si="4"/>
        <v>0</v>
      </c>
      <c r="N23" s="13">
        <f t="shared" si="4"/>
        <v>0</v>
      </c>
      <c r="O23" s="13">
        <f t="shared" si="3"/>
        <v>66673.84</v>
      </c>
    </row>
    <row r="24" spans="1:15" x14ac:dyDescent="0.3">
      <c r="A24" s="3" t="s">
        <v>21</v>
      </c>
      <c r="B24" s="11">
        <v>2320</v>
      </c>
      <c r="C24" s="11">
        <v>2398.4</v>
      </c>
      <c r="D24" s="11">
        <v>1154.71</v>
      </c>
      <c r="E24" s="11">
        <v>62.12</v>
      </c>
      <c r="F24" s="11">
        <v>1240</v>
      </c>
      <c r="G24" s="11">
        <v>378</v>
      </c>
      <c r="H24" s="11">
        <v>12884.5</v>
      </c>
      <c r="I24" s="11">
        <v>3699.83</v>
      </c>
      <c r="J24" s="11">
        <v>5711.2</v>
      </c>
      <c r="K24" s="11">
        <v>2379.7600000000002</v>
      </c>
      <c r="L24" s="11">
        <v>816.29</v>
      </c>
      <c r="M24" s="11">
        <v>2563.44</v>
      </c>
      <c r="N24" s="11">
        <v>1081.31</v>
      </c>
      <c r="O24" s="11">
        <f t="shared" si="3"/>
        <v>36689.56</v>
      </c>
    </row>
    <row r="25" spans="1:15" x14ac:dyDescent="0.3">
      <c r="A25" s="4" t="s">
        <v>22</v>
      </c>
      <c r="B25" s="12">
        <f t="shared" ref="B25:N25" si="5">B14+B19+B23+B24</f>
        <v>30828.309999999998</v>
      </c>
      <c r="C25" s="12">
        <f t="shared" si="5"/>
        <v>36736.340000000004</v>
      </c>
      <c r="D25" s="12">
        <f t="shared" si="5"/>
        <v>49033.39</v>
      </c>
      <c r="E25" s="12">
        <f t="shared" si="5"/>
        <v>17520.77</v>
      </c>
      <c r="F25" s="12">
        <f t="shared" si="5"/>
        <v>32076.31</v>
      </c>
      <c r="G25" s="12">
        <f t="shared" si="5"/>
        <v>17000.77</v>
      </c>
      <c r="H25" s="12">
        <f t="shared" si="5"/>
        <v>37233.97</v>
      </c>
      <c r="I25" s="12">
        <f t="shared" si="5"/>
        <v>11928.18</v>
      </c>
      <c r="J25" s="12">
        <f t="shared" si="5"/>
        <v>13458.619999999999</v>
      </c>
      <c r="K25" s="12">
        <f t="shared" si="5"/>
        <v>49853.4</v>
      </c>
      <c r="L25" s="12">
        <f t="shared" si="5"/>
        <v>21828.980000000003</v>
      </c>
      <c r="M25" s="12">
        <f t="shared" si="5"/>
        <v>5077.5</v>
      </c>
      <c r="N25" s="12">
        <f t="shared" si="5"/>
        <v>4388.76</v>
      </c>
      <c r="O25" s="13">
        <f t="shared" si="3"/>
        <v>326965.3</v>
      </c>
    </row>
    <row r="26" spans="1:15" x14ac:dyDescent="0.3">
      <c r="A26" s="4" t="s">
        <v>23</v>
      </c>
      <c r="B26" s="12">
        <f t="shared" ref="B26:N26" si="6">B13-B25</f>
        <v>-15846.349999999999</v>
      </c>
      <c r="C26" s="12">
        <f t="shared" si="6"/>
        <v>-17036.340000000004</v>
      </c>
      <c r="D26" s="12">
        <f t="shared" si="6"/>
        <v>331848.02</v>
      </c>
      <c r="E26" s="12">
        <f t="shared" si="6"/>
        <v>173074.91</v>
      </c>
      <c r="F26" s="12">
        <f t="shared" si="6"/>
        <v>123247.16</v>
      </c>
      <c r="G26" s="12">
        <f t="shared" si="6"/>
        <v>5348.8499999999985</v>
      </c>
      <c r="H26" s="12">
        <f t="shared" si="6"/>
        <v>68495</v>
      </c>
      <c r="I26" s="12">
        <f t="shared" si="6"/>
        <v>32940.39</v>
      </c>
      <c r="J26" s="12">
        <f t="shared" si="6"/>
        <v>5724.4000000000015</v>
      </c>
      <c r="K26" s="12">
        <f t="shared" si="6"/>
        <v>27645.18</v>
      </c>
      <c r="L26" s="12">
        <f t="shared" si="6"/>
        <v>-9302.3300000000036</v>
      </c>
      <c r="M26" s="12">
        <f t="shared" si="6"/>
        <v>42074.66</v>
      </c>
      <c r="N26" s="12">
        <f t="shared" si="6"/>
        <v>40099.760000000002</v>
      </c>
      <c r="O26" s="13">
        <f t="shared" si="3"/>
        <v>808313.31000000017</v>
      </c>
    </row>
    <row r="27" spans="1:15" x14ac:dyDescent="0.3">
      <c r="A27" s="2" t="s">
        <v>24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x14ac:dyDescent="0.3">
      <c r="A28" s="3" t="s">
        <v>25</v>
      </c>
      <c r="B28" s="10"/>
      <c r="C28" s="10"/>
      <c r="D28" s="11">
        <v>120</v>
      </c>
      <c r="E28" s="10"/>
      <c r="F28" s="10"/>
      <c r="G28" s="10"/>
      <c r="H28" s="11">
        <v>119.88</v>
      </c>
      <c r="I28" s="10"/>
      <c r="J28" s="11">
        <v>324.67</v>
      </c>
      <c r="K28" s="11">
        <v>2319.2399999999998</v>
      </c>
      <c r="L28" s="11">
        <v>1715.1</v>
      </c>
      <c r="M28" s="11">
        <v>2113.37</v>
      </c>
      <c r="N28" s="11">
        <v>1205.5</v>
      </c>
      <c r="O28" s="11">
        <f t="shared" ref="O28:O44" si="7">B28+C28+D28+E28+F28+G28+H28+I28+J28+K28+L28+M28+N28</f>
        <v>7917.7599999999993</v>
      </c>
    </row>
    <row r="29" spans="1:15" x14ac:dyDescent="0.3">
      <c r="A29" s="3" t="s">
        <v>26</v>
      </c>
      <c r="B29" s="10"/>
      <c r="C29" s="10"/>
      <c r="D29" s="10"/>
      <c r="E29" s="10"/>
      <c r="F29" s="10"/>
      <c r="G29" s="10"/>
      <c r="H29" s="11">
        <v>3312.46</v>
      </c>
      <c r="I29" s="11">
        <v>149</v>
      </c>
      <c r="J29" s="10"/>
      <c r="K29" s="10"/>
      <c r="L29" s="10"/>
      <c r="M29" s="10"/>
      <c r="N29" s="10"/>
      <c r="O29" s="11">
        <f t="shared" si="7"/>
        <v>3461.46</v>
      </c>
    </row>
    <row r="30" spans="1:15" x14ac:dyDescent="0.3">
      <c r="A30" s="3" t="s">
        <v>27</v>
      </c>
      <c r="B30" s="11">
        <v>20</v>
      </c>
      <c r="C30" s="11">
        <v>78</v>
      </c>
      <c r="D30" s="11">
        <v>44</v>
      </c>
      <c r="E30" s="11">
        <v>306.73</v>
      </c>
      <c r="F30" s="10"/>
      <c r="G30" s="11">
        <v>57</v>
      </c>
      <c r="H30" s="11">
        <v>95</v>
      </c>
      <c r="I30" s="11">
        <v>39</v>
      </c>
      <c r="J30" s="11">
        <v>20</v>
      </c>
      <c r="K30" s="11">
        <v>20</v>
      </c>
      <c r="L30" s="11">
        <v>20</v>
      </c>
      <c r="M30" s="11">
        <v>25</v>
      </c>
      <c r="N30" s="10"/>
      <c r="O30" s="11">
        <f t="shared" si="7"/>
        <v>724.73</v>
      </c>
    </row>
    <row r="31" spans="1:15" x14ac:dyDescent="0.3">
      <c r="A31" s="5" t="s">
        <v>28</v>
      </c>
      <c r="B31" s="11">
        <v>-692.47</v>
      </c>
      <c r="C31" s="11">
        <v>-435.67</v>
      </c>
      <c r="D31" s="11">
        <v>-29.25</v>
      </c>
      <c r="E31" s="11">
        <v>-327.85</v>
      </c>
      <c r="F31" s="10"/>
      <c r="G31" s="11">
        <v>-609.69000000000005</v>
      </c>
      <c r="H31" s="10"/>
      <c r="I31" s="10"/>
      <c r="J31" s="11">
        <v>-651.52</v>
      </c>
      <c r="K31" s="10"/>
      <c r="L31" s="11">
        <v>-615.01</v>
      </c>
      <c r="M31" s="11">
        <v>-48.31</v>
      </c>
      <c r="N31" s="11">
        <v>-183.38</v>
      </c>
      <c r="O31" s="11">
        <f t="shared" si="7"/>
        <v>-3593.15</v>
      </c>
    </row>
    <row r="32" spans="1:15" x14ac:dyDescent="0.3">
      <c r="A32" s="6" t="s">
        <v>29</v>
      </c>
      <c r="B32" s="12">
        <f t="shared" ref="B32:N32" si="8">B30+B31</f>
        <v>-672.47</v>
      </c>
      <c r="C32" s="12">
        <f t="shared" si="8"/>
        <v>-357.67</v>
      </c>
      <c r="D32" s="12">
        <f t="shared" si="8"/>
        <v>14.75</v>
      </c>
      <c r="E32" s="12">
        <f t="shared" si="8"/>
        <v>-21.120000000000005</v>
      </c>
      <c r="F32" s="13">
        <f t="shared" si="8"/>
        <v>0</v>
      </c>
      <c r="G32" s="12">
        <f t="shared" si="8"/>
        <v>-552.69000000000005</v>
      </c>
      <c r="H32" s="12">
        <f t="shared" si="8"/>
        <v>95</v>
      </c>
      <c r="I32" s="12">
        <f t="shared" si="8"/>
        <v>39</v>
      </c>
      <c r="J32" s="12">
        <f t="shared" si="8"/>
        <v>-631.52</v>
      </c>
      <c r="K32" s="12">
        <f t="shared" si="8"/>
        <v>20</v>
      </c>
      <c r="L32" s="12">
        <f t="shared" si="8"/>
        <v>-595.01</v>
      </c>
      <c r="M32" s="12">
        <f t="shared" si="8"/>
        <v>-23.310000000000002</v>
      </c>
      <c r="N32" s="12">
        <f t="shared" si="8"/>
        <v>-183.38</v>
      </c>
      <c r="O32" s="13">
        <f t="shared" si="7"/>
        <v>-2868.4200000000005</v>
      </c>
    </row>
    <row r="33" spans="1:15" x14ac:dyDescent="0.3">
      <c r="A33" s="3" t="s">
        <v>30</v>
      </c>
      <c r="B33" s="11">
        <v>277.01</v>
      </c>
      <c r="C33" s="11">
        <v>312.91000000000003</v>
      </c>
      <c r="D33" s="11">
        <v>456.93</v>
      </c>
      <c r="E33" s="11">
        <v>464.9</v>
      </c>
      <c r="F33" s="11">
        <v>400.92</v>
      </c>
      <c r="G33" s="11">
        <v>927.61</v>
      </c>
      <c r="H33" s="11">
        <v>847.4</v>
      </c>
      <c r="I33" s="11">
        <v>281.64</v>
      </c>
      <c r="J33" s="11">
        <v>517.54999999999995</v>
      </c>
      <c r="K33" s="11">
        <v>792.7</v>
      </c>
      <c r="L33" s="11">
        <v>195.32</v>
      </c>
      <c r="M33" s="11">
        <v>681.99</v>
      </c>
      <c r="N33" s="11">
        <v>438.23</v>
      </c>
      <c r="O33" s="11">
        <f t="shared" si="7"/>
        <v>6595.1099999999988</v>
      </c>
    </row>
    <row r="34" spans="1:15" x14ac:dyDescent="0.3">
      <c r="A34" s="5" t="s">
        <v>31</v>
      </c>
      <c r="B34" s="10"/>
      <c r="C34" s="10"/>
      <c r="D34" s="11">
        <v>135.84</v>
      </c>
      <c r="E34" s="11">
        <v>65.7</v>
      </c>
      <c r="F34" s="10"/>
      <c r="G34" s="10"/>
      <c r="H34" s="11">
        <v>1846.07</v>
      </c>
      <c r="I34" s="10"/>
      <c r="J34" s="10"/>
      <c r="K34" s="11">
        <v>71.59</v>
      </c>
      <c r="L34" s="10"/>
      <c r="M34" s="11">
        <v>285.57</v>
      </c>
      <c r="N34" s="10"/>
      <c r="O34" s="11">
        <f t="shared" si="7"/>
        <v>2404.77</v>
      </c>
    </row>
    <row r="35" spans="1:15" x14ac:dyDescent="0.3">
      <c r="A35" s="6" t="s">
        <v>32</v>
      </c>
      <c r="B35" s="12">
        <f t="shared" ref="B35:N35" si="9">B33+B34</f>
        <v>277.01</v>
      </c>
      <c r="C35" s="12">
        <f t="shared" si="9"/>
        <v>312.91000000000003</v>
      </c>
      <c r="D35" s="12">
        <f t="shared" si="9"/>
        <v>592.77</v>
      </c>
      <c r="E35" s="12">
        <f t="shared" si="9"/>
        <v>530.6</v>
      </c>
      <c r="F35" s="12">
        <f t="shared" si="9"/>
        <v>400.92</v>
      </c>
      <c r="G35" s="12">
        <f t="shared" si="9"/>
        <v>927.61</v>
      </c>
      <c r="H35" s="12">
        <f t="shared" si="9"/>
        <v>2693.47</v>
      </c>
      <c r="I35" s="12">
        <f t="shared" si="9"/>
        <v>281.64</v>
      </c>
      <c r="J35" s="12">
        <f t="shared" si="9"/>
        <v>517.54999999999995</v>
      </c>
      <c r="K35" s="12">
        <f t="shared" si="9"/>
        <v>864.29000000000008</v>
      </c>
      <c r="L35" s="12">
        <f t="shared" si="9"/>
        <v>195.32</v>
      </c>
      <c r="M35" s="12">
        <f t="shared" si="9"/>
        <v>967.56</v>
      </c>
      <c r="N35" s="12">
        <f t="shared" si="9"/>
        <v>438.23</v>
      </c>
      <c r="O35" s="13">
        <f t="shared" si="7"/>
        <v>8999.8799999999992</v>
      </c>
    </row>
    <row r="36" spans="1:15" x14ac:dyDescent="0.3">
      <c r="A36" s="3" t="s">
        <v>33</v>
      </c>
      <c r="B36" s="11">
        <v>840.31</v>
      </c>
      <c r="C36" s="11">
        <v>853.33</v>
      </c>
      <c r="D36" s="11">
        <v>891.25</v>
      </c>
      <c r="E36" s="11">
        <v>747.38</v>
      </c>
      <c r="F36" s="11">
        <v>811.61</v>
      </c>
      <c r="G36" s="11">
        <v>431.31</v>
      </c>
      <c r="H36" s="11">
        <v>455.79</v>
      </c>
      <c r="I36" s="11">
        <v>420.25</v>
      </c>
      <c r="J36" s="11">
        <v>766.89</v>
      </c>
      <c r="K36" s="11">
        <v>171.92</v>
      </c>
      <c r="L36" s="11">
        <v>260.86</v>
      </c>
      <c r="M36" s="11">
        <v>280.97000000000003</v>
      </c>
      <c r="N36" s="11">
        <v>229.93</v>
      </c>
      <c r="O36" s="11">
        <f t="shared" si="7"/>
        <v>7161.8000000000011</v>
      </c>
    </row>
    <row r="37" spans="1:15" x14ac:dyDescent="0.3">
      <c r="A37" s="3" t="s">
        <v>34</v>
      </c>
      <c r="B37" s="11">
        <v>3630.89</v>
      </c>
      <c r="C37" s="11">
        <v>1898.61</v>
      </c>
      <c r="D37" s="11">
        <v>3225.89</v>
      </c>
      <c r="E37" s="11">
        <v>3766.23</v>
      </c>
      <c r="F37" s="11">
        <v>18180.46</v>
      </c>
      <c r="G37" s="11">
        <v>2803.42</v>
      </c>
      <c r="H37" s="11">
        <v>9277.89</v>
      </c>
      <c r="I37" s="11">
        <v>2209.63</v>
      </c>
      <c r="J37" s="11">
        <v>6069.61</v>
      </c>
      <c r="K37" s="11">
        <v>6782.61</v>
      </c>
      <c r="L37" s="11">
        <v>8468.9599999999991</v>
      </c>
      <c r="M37" s="11">
        <v>3768.14</v>
      </c>
      <c r="N37" s="11">
        <v>5275</v>
      </c>
      <c r="O37" s="11">
        <f t="shared" si="7"/>
        <v>75357.34</v>
      </c>
    </row>
    <row r="38" spans="1:15" x14ac:dyDescent="0.3">
      <c r="A38" s="3" t="s">
        <v>35</v>
      </c>
      <c r="B38" s="11">
        <v>1202.3499999999999</v>
      </c>
      <c r="C38" s="11">
        <v>1202.3499999999999</v>
      </c>
      <c r="D38" s="11">
        <v>1172</v>
      </c>
      <c r="E38" s="10"/>
      <c r="F38" s="11">
        <v>1175</v>
      </c>
      <c r="G38" s="10"/>
      <c r="H38" s="11">
        <v>1176</v>
      </c>
      <c r="I38" s="11">
        <v>4009</v>
      </c>
      <c r="J38" s="11">
        <v>1907.9</v>
      </c>
      <c r="K38" s="11">
        <v>1907.9</v>
      </c>
      <c r="L38" s="11">
        <v>1907.9</v>
      </c>
      <c r="M38" s="11">
        <v>1907.9</v>
      </c>
      <c r="N38" s="11">
        <v>731.9</v>
      </c>
      <c r="O38" s="11">
        <f t="shared" si="7"/>
        <v>18300.2</v>
      </c>
    </row>
    <row r="39" spans="1:15" x14ac:dyDescent="0.3">
      <c r="A39" s="3" t="s">
        <v>36</v>
      </c>
      <c r="B39" s="11">
        <v>903.91</v>
      </c>
      <c r="C39" s="11">
        <v>1150.9100000000001</v>
      </c>
      <c r="D39" s="11">
        <v>1302.3900000000001</v>
      </c>
      <c r="E39" s="11">
        <v>1590.21</v>
      </c>
      <c r="F39" s="11">
        <v>1615.05</v>
      </c>
      <c r="G39" s="11">
        <v>1633.49</v>
      </c>
      <c r="H39" s="11">
        <v>4521.26</v>
      </c>
      <c r="I39" s="11">
        <v>1711.94</v>
      </c>
      <c r="J39" s="11">
        <v>1610.63</v>
      </c>
      <c r="K39" s="11">
        <v>1498.24</v>
      </c>
      <c r="L39" s="11">
        <v>1354.22</v>
      </c>
      <c r="M39" s="11">
        <v>296.61</v>
      </c>
      <c r="N39" s="10"/>
      <c r="O39" s="11">
        <f t="shared" si="7"/>
        <v>19188.860000000004</v>
      </c>
    </row>
    <row r="40" spans="1:15" x14ac:dyDescent="0.3">
      <c r="A40" s="3" t="s">
        <v>37</v>
      </c>
      <c r="B40" s="11">
        <v>120</v>
      </c>
      <c r="C40" s="11">
        <v>5.95</v>
      </c>
      <c r="D40" s="10"/>
      <c r="E40" s="10"/>
      <c r="F40" s="10"/>
      <c r="G40" s="10"/>
      <c r="H40" s="11">
        <v>669.21</v>
      </c>
      <c r="I40" s="10"/>
      <c r="J40" s="11">
        <v>257</v>
      </c>
      <c r="K40" s="11">
        <v>7913.55</v>
      </c>
      <c r="L40" s="11">
        <v>1360.12</v>
      </c>
      <c r="M40" s="10"/>
      <c r="N40" s="10"/>
      <c r="O40" s="11">
        <f t="shared" si="7"/>
        <v>10325.830000000002</v>
      </c>
    </row>
    <row r="41" spans="1:15" x14ac:dyDescent="0.3">
      <c r="A41" s="3" t="s">
        <v>38</v>
      </c>
      <c r="B41" s="11">
        <v>608.13</v>
      </c>
      <c r="C41" s="11">
        <v>985.98</v>
      </c>
      <c r="D41" s="11">
        <v>491.21</v>
      </c>
      <c r="E41" s="11">
        <v>401.51</v>
      </c>
      <c r="F41" s="11">
        <v>365.6</v>
      </c>
      <c r="G41" s="11">
        <v>607.38</v>
      </c>
      <c r="H41" s="11">
        <v>721.5</v>
      </c>
      <c r="I41" s="11">
        <v>41.46</v>
      </c>
      <c r="J41" s="11">
        <v>42.28</v>
      </c>
      <c r="K41" s="11">
        <v>52.6</v>
      </c>
      <c r="L41" s="11">
        <v>101</v>
      </c>
      <c r="M41" s="11">
        <v>377.83</v>
      </c>
      <c r="N41" s="11">
        <v>86.32</v>
      </c>
      <c r="O41" s="11">
        <f t="shared" si="7"/>
        <v>4882.7999999999993</v>
      </c>
    </row>
    <row r="42" spans="1:15" x14ac:dyDescent="0.3">
      <c r="A42" s="3" t="s">
        <v>39</v>
      </c>
      <c r="B42" s="10"/>
      <c r="C42" s="10"/>
      <c r="D42" s="10"/>
      <c r="E42" s="10"/>
      <c r="F42" s="10"/>
      <c r="G42" s="10"/>
      <c r="H42" s="10"/>
      <c r="I42" s="10"/>
      <c r="J42" s="11">
        <v>19.87</v>
      </c>
      <c r="K42" s="11">
        <v>1</v>
      </c>
      <c r="L42" s="11">
        <v>15.41</v>
      </c>
      <c r="M42" s="10"/>
      <c r="N42" s="10"/>
      <c r="O42" s="11">
        <f t="shared" si="7"/>
        <v>36.28</v>
      </c>
    </row>
    <row r="43" spans="1:15" x14ac:dyDescent="0.3">
      <c r="A43" s="3" t="s">
        <v>40</v>
      </c>
      <c r="B43" s="10"/>
      <c r="C43" s="10"/>
      <c r="D43" s="10"/>
      <c r="E43" s="10"/>
      <c r="F43" s="10"/>
      <c r="G43" s="11">
        <v>153.25</v>
      </c>
      <c r="H43" s="10"/>
      <c r="I43" s="10"/>
      <c r="J43" s="10"/>
      <c r="K43" s="10"/>
      <c r="L43" s="10"/>
      <c r="M43" s="10"/>
      <c r="N43" s="10"/>
      <c r="O43" s="11">
        <f t="shared" si="7"/>
        <v>153.25</v>
      </c>
    </row>
    <row r="44" spans="1:15" x14ac:dyDescent="0.3">
      <c r="A44" s="3" t="s">
        <v>41</v>
      </c>
      <c r="B44" s="10"/>
      <c r="C44" s="10"/>
      <c r="D44" s="10"/>
      <c r="E44" s="10"/>
      <c r="F44" s="10"/>
      <c r="G44" s="14">
        <v>0</v>
      </c>
      <c r="H44" s="10"/>
      <c r="I44" s="10"/>
      <c r="J44" s="10"/>
      <c r="K44" s="10"/>
      <c r="L44" s="10"/>
      <c r="M44" s="10"/>
      <c r="N44" s="10"/>
      <c r="O44" s="14">
        <f t="shared" si="7"/>
        <v>0</v>
      </c>
    </row>
    <row r="45" spans="1:15" x14ac:dyDescent="0.3">
      <c r="A45" s="5" t="s">
        <v>42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3">
      <c r="A46" s="7" t="s">
        <v>43</v>
      </c>
      <c r="B46" s="10"/>
      <c r="C46" s="10"/>
      <c r="D46" s="10"/>
      <c r="E46" s="10"/>
      <c r="F46" s="10"/>
      <c r="G46" s="10"/>
      <c r="H46" s="14">
        <v>0</v>
      </c>
      <c r="I46" s="10"/>
      <c r="J46" s="10"/>
      <c r="K46" s="10"/>
      <c r="L46" s="10"/>
      <c r="M46" s="10"/>
      <c r="N46" s="10"/>
      <c r="O46" s="14">
        <f t="shared" ref="O46:O64" si="10">B46+C46+D46+E46+F46+G46+H46+I46+J46+K46+L46+M46+N46</f>
        <v>0</v>
      </c>
    </row>
    <row r="47" spans="1:15" x14ac:dyDescent="0.3">
      <c r="A47" s="8" t="s">
        <v>44</v>
      </c>
      <c r="B47" s="13">
        <f t="shared" ref="B47:N47" si="11">B45+B46</f>
        <v>0</v>
      </c>
      <c r="C47" s="13">
        <f t="shared" si="11"/>
        <v>0</v>
      </c>
      <c r="D47" s="13">
        <f t="shared" si="11"/>
        <v>0</v>
      </c>
      <c r="E47" s="13">
        <f t="shared" si="11"/>
        <v>0</v>
      </c>
      <c r="F47" s="13">
        <f t="shared" si="11"/>
        <v>0</v>
      </c>
      <c r="G47" s="13">
        <f t="shared" si="11"/>
        <v>0</v>
      </c>
      <c r="H47" s="13">
        <f t="shared" si="11"/>
        <v>0</v>
      </c>
      <c r="I47" s="13">
        <f t="shared" si="11"/>
        <v>0</v>
      </c>
      <c r="J47" s="13">
        <f t="shared" si="11"/>
        <v>0</v>
      </c>
      <c r="K47" s="13">
        <f t="shared" si="11"/>
        <v>0</v>
      </c>
      <c r="L47" s="13">
        <f t="shared" si="11"/>
        <v>0</v>
      </c>
      <c r="M47" s="13">
        <f t="shared" si="11"/>
        <v>0</v>
      </c>
      <c r="N47" s="13">
        <f t="shared" si="11"/>
        <v>0</v>
      </c>
      <c r="O47" s="13">
        <f t="shared" si="10"/>
        <v>0</v>
      </c>
    </row>
    <row r="48" spans="1:15" x14ac:dyDescent="0.3">
      <c r="A48" s="5" t="s">
        <v>45</v>
      </c>
      <c r="B48" s="11">
        <v>742.37</v>
      </c>
      <c r="C48" s="11">
        <v>814.71</v>
      </c>
      <c r="D48" s="11">
        <v>1977.27</v>
      </c>
      <c r="E48" s="11">
        <v>1217.6300000000001</v>
      </c>
      <c r="F48" s="11">
        <v>1012.54</v>
      </c>
      <c r="G48" s="11">
        <v>1361.45</v>
      </c>
      <c r="H48" s="11">
        <v>6253.43</v>
      </c>
      <c r="I48" s="11">
        <v>2408.9</v>
      </c>
      <c r="J48" s="11">
        <v>2809.15</v>
      </c>
      <c r="K48" s="11">
        <v>1339.83</v>
      </c>
      <c r="L48" s="11">
        <v>888.31</v>
      </c>
      <c r="M48" s="11">
        <v>511.96</v>
      </c>
      <c r="N48" s="11">
        <v>569.4</v>
      </c>
      <c r="O48" s="11">
        <f t="shared" si="10"/>
        <v>21906.95</v>
      </c>
    </row>
    <row r="49" spans="1:16" x14ac:dyDescent="0.3">
      <c r="A49" s="5" t="s">
        <v>46</v>
      </c>
      <c r="B49" s="11">
        <v>9782.52</v>
      </c>
      <c r="C49" s="11">
        <v>10370.379999999999</v>
      </c>
      <c r="D49" s="11">
        <v>23641.32</v>
      </c>
      <c r="E49" s="11">
        <v>23664.61</v>
      </c>
      <c r="F49" s="11">
        <v>12977.39</v>
      </c>
      <c r="G49" s="11">
        <v>16854.64</v>
      </c>
      <c r="H49" s="11">
        <v>87666.59</v>
      </c>
      <c r="I49" s="11">
        <v>23022.77</v>
      </c>
      <c r="J49" s="11">
        <v>15638.67</v>
      </c>
      <c r="K49" s="11">
        <v>21108.79</v>
      </c>
      <c r="L49" s="11">
        <v>8352.2000000000007</v>
      </c>
      <c r="M49" s="11">
        <v>6731.5</v>
      </c>
      <c r="N49" s="11">
        <v>7495.55</v>
      </c>
      <c r="O49" s="11">
        <f t="shared" si="10"/>
        <v>267306.93000000005</v>
      </c>
    </row>
    <row r="50" spans="1:16" x14ac:dyDescent="0.3">
      <c r="A50" s="5" t="s">
        <v>47</v>
      </c>
      <c r="B50" s="11">
        <v>217.31</v>
      </c>
      <c r="C50" s="11">
        <v>211</v>
      </c>
      <c r="D50" s="11">
        <v>211</v>
      </c>
      <c r="E50" s="11">
        <v>211</v>
      </c>
      <c r="F50" s="11">
        <v>211</v>
      </c>
      <c r="G50" s="10"/>
      <c r="H50" s="11">
        <v>423.31</v>
      </c>
      <c r="I50" s="11">
        <v>645</v>
      </c>
      <c r="J50" s="11">
        <v>653</v>
      </c>
      <c r="K50" s="11">
        <v>653</v>
      </c>
      <c r="L50" s="11">
        <v>653</v>
      </c>
      <c r="M50" s="11">
        <v>653</v>
      </c>
      <c r="N50" s="10"/>
      <c r="O50" s="11">
        <f t="shared" si="10"/>
        <v>4741.62</v>
      </c>
    </row>
    <row r="51" spans="1:16" x14ac:dyDescent="0.3">
      <c r="A51" s="6" t="s">
        <v>48</v>
      </c>
      <c r="B51" s="12">
        <f t="shared" ref="B51:N51" si="12">B44+B47+B48+B49+B50</f>
        <v>10742.2</v>
      </c>
      <c r="C51" s="12">
        <f t="shared" si="12"/>
        <v>11396.09</v>
      </c>
      <c r="D51" s="12">
        <f t="shared" si="12"/>
        <v>25829.59</v>
      </c>
      <c r="E51" s="12">
        <f t="shared" si="12"/>
        <v>25093.24</v>
      </c>
      <c r="F51" s="12">
        <f t="shared" si="12"/>
        <v>14200.93</v>
      </c>
      <c r="G51" s="12">
        <f t="shared" si="12"/>
        <v>18216.09</v>
      </c>
      <c r="H51" s="12">
        <f t="shared" si="12"/>
        <v>94343.329999999987</v>
      </c>
      <c r="I51" s="12">
        <f t="shared" si="12"/>
        <v>26076.670000000002</v>
      </c>
      <c r="J51" s="12">
        <f t="shared" si="12"/>
        <v>19100.82</v>
      </c>
      <c r="K51" s="12">
        <f t="shared" si="12"/>
        <v>23101.620000000003</v>
      </c>
      <c r="L51" s="12">
        <f t="shared" si="12"/>
        <v>9893.51</v>
      </c>
      <c r="M51" s="12">
        <f t="shared" si="12"/>
        <v>7896.46</v>
      </c>
      <c r="N51" s="12">
        <f t="shared" si="12"/>
        <v>8064.95</v>
      </c>
      <c r="O51" s="13">
        <f t="shared" si="10"/>
        <v>293955.50000000006</v>
      </c>
      <c r="P51" s="15">
        <f>N51/N63</f>
        <v>0.44601523152841216</v>
      </c>
    </row>
    <row r="52" spans="1:16" x14ac:dyDescent="0.3">
      <c r="A52" s="3" t="s">
        <v>49</v>
      </c>
      <c r="B52" s="10"/>
      <c r="C52" s="10"/>
      <c r="D52" s="10"/>
      <c r="E52" s="10"/>
      <c r="F52" s="11">
        <v>37.630000000000003</v>
      </c>
      <c r="G52" s="10"/>
      <c r="H52" s="10"/>
      <c r="I52" s="11">
        <v>124.48</v>
      </c>
      <c r="J52" s="11">
        <v>833.4</v>
      </c>
      <c r="K52" s="10"/>
      <c r="L52" s="11">
        <v>13.27</v>
      </c>
      <c r="M52" s="11">
        <v>48.29</v>
      </c>
      <c r="N52" s="10"/>
      <c r="O52" s="11">
        <f t="shared" si="10"/>
        <v>1057.07</v>
      </c>
    </row>
    <row r="53" spans="1:16" x14ac:dyDescent="0.3">
      <c r="A53" s="3" t="s">
        <v>50</v>
      </c>
      <c r="B53" s="10"/>
      <c r="C53" s="11">
        <v>7.18</v>
      </c>
      <c r="D53" s="11">
        <v>141.13</v>
      </c>
      <c r="E53" s="11">
        <v>35.590000000000003</v>
      </c>
      <c r="F53" s="11">
        <v>196.58</v>
      </c>
      <c r="G53" s="11">
        <v>69.5</v>
      </c>
      <c r="H53" s="11">
        <v>273.95999999999998</v>
      </c>
      <c r="I53" s="11">
        <v>394.99</v>
      </c>
      <c r="J53" s="11">
        <v>82.5</v>
      </c>
      <c r="K53" s="11">
        <v>998.72</v>
      </c>
      <c r="L53" s="11">
        <v>134.62</v>
      </c>
      <c r="M53" s="11">
        <v>91</v>
      </c>
      <c r="N53" s="11">
        <v>289.81</v>
      </c>
      <c r="O53" s="11">
        <f t="shared" si="10"/>
        <v>2715.58</v>
      </c>
    </row>
    <row r="54" spans="1:16" x14ac:dyDescent="0.3">
      <c r="A54" s="3" t="s">
        <v>51</v>
      </c>
      <c r="B54" s="11">
        <v>322.45999999999998</v>
      </c>
      <c r="C54" s="11">
        <v>397.87</v>
      </c>
      <c r="D54" s="11">
        <v>350.37</v>
      </c>
      <c r="E54" s="10"/>
      <c r="F54" s="10"/>
      <c r="G54" s="11">
        <v>10</v>
      </c>
      <c r="H54" s="11">
        <v>332.4</v>
      </c>
      <c r="I54" s="11">
        <v>485.94</v>
      </c>
      <c r="J54" s="10"/>
      <c r="K54" s="11">
        <v>571.86</v>
      </c>
      <c r="L54" s="10"/>
      <c r="M54" s="11">
        <v>731.88</v>
      </c>
      <c r="N54" s="11">
        <v>260</v>
      </c>
      <c r="O54" s="11">
        <f t="shared" si="10"/>
        <v>3462.78</v>
      </c>
    </row>
    <row r="55" spans="1:16" x14ac:dyDescent="0.3">
      <c r="A55" s="3" t="s">
        <v>52</v>
      </c>
      <c r="B55" s="11">
        <v>1000</v>
      </c>
      <c r="C55" s="11">
        <v>500</v>
      </c>
      <c r="D55" s="11">
        <v>1000</v>
      </c>
      <c r="E55" s="11">
        <v>1000</v>
      </c>
      <c r="F55" s="11">
        <v>1000</v>
      </c>
      <c r="G55" s="11">
        <v>1000</v>
      </c>
      <c r="H55" s="11">
        <v>1000</v>
      </c>
      <c r="I55" s="11">
        <v>1000</v>
      </c>
      <c r="J55" s="11">
        <v>1000</v>
      </c>
      <c r="K55" s="11">
        <v>500</v>
      </c>
      <c r="L55" s="11">
        <v>579</v>
      </c>
      <c r="M55" s="10"/>
      <c r="N55" s="11">
        <v>500</v>
      </c>
      <c r="O55" s="11">
        <f t="shared" si="10"/>
        <v>10079</v>
      </c>
    </row>
    <row r="56" spans="1:16" x14ac:dyDescent="0.3">
      <c r="A56" s="3" t="s">
        <v>53</v>
      </c>
      <c r="B56" s="11">
        <v>218</v>
      </c>
      <c r="C56" s="11">
        <v>218</v>
      </c>
      <c r="D56" s="11">
        <v>218</v>
      </c>
      <c r="E56" s="11">
        <v>218</v>
      </c>
      <c r="F56" s="11">
        <v>218</v>
      </c>
      <c r="G56" s="11">
        <v>218</v>
      </c>
      <c r="H56" s="11">
        <v>2632</v>
      </c>
      <c r="I56" s="11">
        <v>294</v>
      </c>
      <c r="J56" s="11">
        <v>294</v>
      </c>
      <c r="K56" s="11">
        <v>294</v>
      </c>
      <c r="L56" s="11">
        <v>294</v>
      </c>
      <c r="M56" s="11">
        <v>283.63</v>
      </c>
      <c r="N56" s="11">
        <v>235.73</v>
      </c>
      <c r="O56" s="11">
        <f t="shared" si="10"/>
        <v>5635.36</v>
      </c>
    </row>
    <row r="57" spans="1:16" x14ac:dyDescent="0.3">
      <c r="A57" s="3" t="s">
        <v>54</v>
      </c>
      <c r="B57" s="11">
        <v>28</v>
      </c>
      <c r="C57" s="11">
        <v>28</v>
      </c>
      <c r="D57" s="11">
        <v>337</v>
      </c>
      <c r="E57" s="11">
        <v>367</v>
      </c>
      <c r="F57" s="11">
        <v>1236.99</v>
      </c>
      <c r="G57" s="11">
        <v>190.99</v>
      </c>
      <c r="H57" s="11">
        <v>919.92</v>
      </c>
      <c r="I57" s="11">
        <v>2378</v>
      </c>
      <c r="J57" s="11">
        <v>253.35</v>
      </c>
      <c r="K57" s="11">
        <v>503.01</v>
      </c>
      <c r="L57" s="11">
        <v>417</v>
      </c>
      <c r="M57" s="11">
        <v>388</v>
      </c>
      <c r="N57" s="11">
        <v>948.24</v>
      </c>
      <c r="O57" s="11">
        <f t="shared" si="10"/>
        <v>7995.5</v>
      </c>
    </row>
    <row r="58" spans="1:16" x14ac:dyDescent="0.3">
      <c r="A58" s="3" t="s">
        <v>55</v>
      </c>
      <c r="B58" s="10"/>
      <c r="C58" s="10"/>
      <c r="D58" s="10"/>
      <c r="E58" s="10"/>
      <c r="F58" s="10"/>
      <c r="G58" s="10"/>
      <c r="H58" s="11">
        <v>1074.8800000000001</v>
      </c>
      <c r="I58" s="11">
        <v>312.45999999999998</v>
      </c>
      <c r="J58" s="10"/>
      <c r="K58" s="10"/>
      <c r="L58" s="10"/>
      <c r="M58" s="10"/>
      <c r="N58" s="10"/>
      <c r="O58" s="11">
        <f t="shared" si="10"/>
        <v>1387.3400000000001</v>
      </c>
    </row>
    <row r="59" spans="1:16" x14ac:dyDescent="0.3">
      <c r="A59" s="3" t="s">
        <v>56</v>
      </c>
      <c r="B59" s="10"/>
      <c r="C59" s="10"/>
      <c r="D59" s="10"/>
      <c r="E59" s="10"/>
      <c r="F59" s="11">
        <v>99</v>
      </c>
      <c r="G59" s="11">
        <v>513.46</v>
      </c>
      <c r="H59" s="11">
        <v>605.26</v>
      </c>
      <c r="I59" s="14">
        <v>0</v>
      </c>
      <c r="J59" s="10"/>
      <c r="K59" s="14">
        <v>0</v>
      </c>
      <c r="L59" s="10"/>
      <c r="M59" s="10"/>
      <c r="N59" s="10"/>
      <c r="O59" s="11">
        <f t="shared" si="10"/>
        <v>1217.72</v>
      </c>
    </row>
    <row r="60" spans="1:16" x14ac:dyDescent="0.3">
      <c r="A60" s="3" t="s">
        <v>57</v>
      </c>
      <c r="B60" s="10"/>
      <c r="C60" s="10"/>
      <c r="D60" s="10"/>
      <c r="E60" s="10"/>
      <c r="F60" s="10"/>
      <c r="G60" s="10"/>
      <c r="H60" s="10"/>
      <c r="I60" s="11">
        <v>572</v>
      </c>
      <c r="J60" s="10"/>
      <c r="K60" s="10"/>
      <c r="L60" s="10"/>
      <c r="M60" s="10"/>
      <c r="N60" s="10"/>
      <c r="O60" s="11">
        <f t="shared" si="10"/>
        <v>572</v>
      </c>
    </row>
    <row r="61" spans="1:16" x14ac:dyDescent="0.3">
      <c r="A61" s="3" t="s">
        <v>58</v>
      </c>
      <c r="B61" s="11">
        <v>111</v>
      </c>
      <c r="C61" s="11">
        <v>80.69</v>
      </c>
      <c r="D61" s="11">
        <v>40.75</v>
      </c>
      <c r="E61" s="11">
        <v>3.5</v>
      </c>
      <c r="F61" s="11">
        <v>414.18</v>
      </c>
      <c r="G61" s="11">
        <v>787.95</v>
      </c>
      <c r="H61" s="11">
        <v>3.5</v>
      </c>
      <c r="I61" s="11">
        <v>50.57</v>
      </c>
      <c r="J61" s="11">
        <v>4</v>
      </c>
      <c r="K61" s="11">
        <v>302.7</v>
      </c>
      <c r="L61" s="10"/>
      <c r="M61" s="10"/>
      <c r="N61" s="10"/>
      <c r="O61" s="11">
        <f t="shared" si="10"/>
        <v>1798.8400000000001</v>
      </c>
    </row>
    <row r="62" spans="1:16" x14ac:dyDescent="0.3">
      <c r="A62" s="3" t="s">
        <v>59</v>
      </c>
      <c r="B62" s="10"/>
      <c r="C62" s="11">
        <v>179.72</v>
      </c>
      <c r="D62" s="10"/>
      <c r="E62" s="11">
        <v>379.91</v>
      </c>
      <c r="F62" s="10"/>
      <c r="G62" s="10"/>
      <c r="H62" s="10"/>
      <c r="I62" s="10"/>
      <c r="J62" s="10"/>
      <c r="K62" s="10"/>
      <c r="L62" s="10"/>
      <c r="M62" s="10"/>
      <c r="N62" s="10"/>
      <c r="O62" s="11">
        <f t="shared" si="10"/>
        <v>559.63</v>
      </c>
    </row>
    <row r="63" spans="1:16" x14ac:dyDescent="0.3">
      <c r="A63" s="4" t="s">
        <v>60</v>
      </c>
      <c r="B63" s="12">
        <f t="shared" ref="B63:N63" si="13">B27+B28+B29+B32+B35+B36+B37+B38+B39+B40+B41+B42+B43+B51+B52+B53+B54+B55+B56+B57+B58+B59+B60+B61+B62</f>
        <v>19331.79</v>
      </c>
      <c r="C63" s="12">
        <f t="shared" si="13"/>
        <v>18859.919999999998</v>
      </c>
      <c r="D63" s="12">
        <f t="shared" si="13"/>
        <v>35727.1</v>
      </c>
      <c r="E63" s="12">
        <f t="shared" si="13"/>
        <v>34112.050000000003</v>
      </c>
      <c r="F63" s="12">
        <f t="shared" si="13"/>
        <v>39951.94999999999</v>
      </c>
      <c r="G63" s="12">
        <f t="shared" si="13"/>
        <v>27009.760000000002</v>
      </c>
      <c r="H63" s="12">
        <f t="shared" si="13"/>
        <v>124227.70999999998</v>
      </c>
      <c r="I63" s="12">
        <f t="shared" si="13"/>
        <v>40551.030000000006</v>
      </c>
      <c r="J63" s="12">
        <f t="shared" si="13"/>
        <v>32452.95</v>
      </c>
      <c r="K63" s="12">
        <f t="shared" si="13"/>
        <v>47803.26</v>
      </c>
      <c r="L63" s="12">
        <f t="shared" si="13"/>
        <v>26115.279999999999</v>
      </c>
      <c r="M63" s="12">
        <f t="shared" si="13"/>
        <v>19128.330000000002</v>
      </c>
      <c r="N63" s="12">
        <f t="shared" si="13"/>
        <v>18082.23</v>
      </c>
      <c r="O63" s="13">
        <f t="shared" si="10"/>
        <v>483353.36000000004</v>
      </c>
    </row>
    <row r="64" spans="1:16" x14ac:dyDescent="0.3">
      <c r="A64" s="4" t="s">
        <v>61</v>
      </c>
      <c r="B64" s="12">
        <f t="shared" ref="B64:N64" si="14">B26-B63</f>
        <v>-35178.14</v>
      </c>
      <c r="C64" s="12">
        <f t="shared" si="14"/>
        <v>-35896.26</v>
      </c>
      <c r="D64" s="12">
        <f t="shared" si="14"/>
        <v>296120.92000000004</v>
      </c>
      <c r="E64" s="12">
        <f t="shared" si="14"/>
        <v>138962.85999999999</v>
      </c>
      <c r="F64" s="12">
        <f t="shared" si="14"/>
        <v>83295.210000000021</v>
      </c>
      <c r="G64" s="12">
        <f t="shared" si="14"/>
        <v>-21660.910000000003</v>
      </c>
      <c r="H64" s="12">
        <f t="shared" si="14"/>
        <v>-55732.709999999977</v>
      </c>
      <c r="I64" s="12">
        <f t="shared" si="14"/>
        <v>-7610.6400000000067</v>
      </c>
      <c r="J64" s="12">
        <f t="shared" si="14"/>
        <v>-26728.55</v>
      </c>
      <c r="K64" s="12">
        <f t="shared" si="14"/>
        <v>-20158.080000000002</v>
      </c>
      <c r="L64" s="12">
        <f t="shared" si="14"/>
        <v>-35417.61</v>
      </c>
      <c r="M64" s="12">
        <f t="shared" si="14"/>
        <v>22946.33</v>
      </c>
      <c r="N64" s="12">
        <f t="shared" si="14"/>
        <v>22017.530000000002</v>
      </c>
      <c r="O64" s="13">
        <f t="shared" si="10"/>
        <v>324959.95000000013</v>
      </c>
    </row>
    <row r="65" spans="1:15" x14ac:dyDescent="0.3">
      <c r="A65" s="2" t="s">
        <v>62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3">
      <c r="A66" s="2" t="s">
        <v>63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5" x14ac:dyDescent="0.3">
      <c r="A67" s="3" t="s">
        <v>64</v>
      </c>
      <c r="B67" s="11">
        <v>1583</v>
      </c>
      <c r="C67" s="11">
        <v>1583</v>
      </c>
      <c r="D67" s="11">
        <v>1583</v>
      </c>
      <c r="E67" s="11">
        <v>1583</v>
      </c>
      <c r="F67" s="11">
        <v>1583</v>
      </c>
      <c r="G67" s="11">
        <v>1583</v>
      </c>
      <c r="H67" s="11">
        <v>1583</v>
      </c>
      <c r="I67" s="11">
        <v>1583</v>
      </c>
      <c r="J67" s="11">
        <v>1583</v>
      </c>
      <c r="K67" s="11">
        <v>1583</v>
      </c>
      <c r="L67" s="11">
        <v>1583</v>
      </c>
      <c r="M67" s="11">
        <v>1583</v>
      </c>
      <c r="N67" s="11">
        <v>1583</v>
      </c>
      <c r="O67" s="11">
        <f t="shared" ref="O67:O72" si="15">B67+C67+D67+E67+F67+G67+H67+I67+J67+K67+L67+M67+N67</f>
        <v>20579</v>
      </c>
    </row>
    <row r="68" spans="1:15" x14ac:dyDescent="0.3">
      <c r="A68" s="3" t="s">
        <v>65</v>
      </c>
      <c r="B68" s="11">
        <v>1781.44</v>
      </c>
      <c r="C68" s="11">
        <v>1781.44</v>
      </c>
      <c r="D68" s="11">
        <v>1781.44</v>
      </c>
      <c r="E68" s="11">
        <v>1781.44</v>
      </c>
      <c r="F68" s="11">
        <v>1241.07</v>
      </c>
      <c r="G68" s="11">
        <v>1241.07</v>
      </c>
      <c r="H68" s="11">
        <v>5750.2</v>
      </c>
      <c r="I68" s="11">
        <v>1241.07</v>
      </c>
      <c r="J68" s="11">
        <v>1241.07</v>
      </c>
      <c r="K68" s="11">
        <v>1241.07</v>
      </c>
      <c r="L68" s="11">
        <v>1241.07</v>
      </c>
      <c r="M68" s="11">
        <v>1241.07</v>
      </c>
      <c r="N68" s="11">
        <v>1241.07</v>
      </c>
      <c r="O68" s="11">
        <f t="shared" si="15"/>
        <v>22804.519999999997</v>
      </c>
    </row>
    <row r="69" spans="1:15" x14ac:dyDescent="0.3">
      <c r="A69" s="3" t="s">
        <v>66</v>
      </c>
      <c r="B69" s="10"/>
      <c r="C69" s="10"/>
      <c r="D69" s="11">
        <v>36</v>
      </c>
      <c r="E69" s="11">
        <v>3156.93</v>
      </c>
      <c r="F69" s="10"/>
      <c r="G69" s="10"/>
      <c r="H69" s="10"/>
      <c r="I69" s="11">
        <v>2027.93</v>
      </c>
      <c r="J69" s="10"/>
      <c r="K69" s="11">
        <v>30</v>
      </c>
      <c r="L69" s="10"/>
      <c r="M69" s="10"/>
      <c r="N69" s="10"/>
      <c r="O69" s="11">
        <f t="shared" si="15"/>
        <v>5250.86</v>
      </c>
    </row>
    <row r="70" spans="1:15" x14ac:dyDescent="0.3">
      <c r="A70" s="4" t="s">
        <v>67</v>
      </c>
      <c r="B70" s="12">
        <f t="shared" ref="B70:N70" si="16">B66+B67+B68+B69</f>
        <v>3364.44</v>
      </c>
      <c r="C70" s="12">
        <f t="shared" si="16"/>
        <v>3364.44</v>
      </c>
      <c r="D70" s="12">
        <f t="shared" si="16"/>
        <v>3400.44</v>
      </c>
      <c r="E70" s="12">
        <f t="shared" si="16"/>
        <v>6521.37</v>
      </c>
      <c r="F70" s="12">
        <f t="shared" si="16"/>
        <v>2824.0699999999997</v>
      </c>
      <c r="G70" s="12">
        <f t="shared" si="16"/>
        <v>2824.0699999999997</v>
      </c>
      <c r="H70" s="12">
        <f t="shared" si="16"/>
        <v>7333.2</v>
      </c>
      <c r="I70" s="12">
        <f t="shared" si="16"/>
        <v>4852</v>
      </c>
      <c r="J70" s="12">
        <f t="shared" si="16"/>
        <v>2824.0699999999997</v>
      </c>
      <c r="K70" s="12">
        <f t="shared" si="16"/>
        <v>2854.0699999999997</v>
      </c>
      <c r="L70" s="12">
        <f t="shared" si="16"/>
        <v>2824.0699999999997</v>
      </c>
      <c r="M70" s="12">
        <f t="shared" si="16"/>
        <v>2824.0699999999997</v>
      </c>
      <c r="N70" s="12">
        <f t="shared" si="16"/>
        <v>2824.0699999999997</v>
      </c>
      <c r="O70" s="13">
        <f t="shared" si="15"/>
        <v>48634.38</v>
      </c>
    </row>
    <row r="71" spans="1:15" x14ac:dyDescent="0.3">
      <c r="A71" s="4" t="s">
        <v>68</v>
      </c>
      <c r="B71" s="12">
        <f t="shared" ref="B71:N71" si="17">B65-B70</f>
        <v>-3364.44</v>
      </c>
      <c r="C71" s="12">
        <f t="shared" si="17"/>
        <v>-3364.44</v>
      </c>
      <c r="D71" s="12">
        <f t="shared" si="17"/>
        <v>-3400.44</v>
      </c>
      <c r="E71" s="12">
        <f t="shared" si="17"/>
        <v>-6521.37</v>
      </c>
      <c r="F71" s="12">
        <f t="shared" si="17"/>
        <v>-2824.0699999999997</v>
      </c>
      <c r="G71" s="12">
        <f t="shared" si="17"/>
        <v>-2824.0699999999997</v>
      </c>
      <c r="H71" s="12">
        <f t="shared" si="17"/>
        <v>-7333.2</v>
      </c>
      <c r="I71" s="12">
        <f t="shared" si="17"/>
        <v>-4852</v>
      </c>
      <c r="J71" s="12">
        <f t="shared" si="17"/>
        <v>-2824.0699999999997</v>
      </c>
      <c r="K71" s="12">
        <f t="shared" si="17"/>
        <v>-2854.0699999999997</v>
      </c>
      <c r="L71" s="12">
        <f t="shared" si="17"/>
        <v>-2824.0699999999997</v>
      </c>
      <c r="M71" s="12">
        <f t="shared" si="17"/>
        <v>-2824.0699999999997</v>
      </c>
      <c r="N71" s="12">
        <f t="shared" si="17"/>
        <v>-2824.0699999999997</v>
      </c>
      <c r="O71" s="13">
        <f t="shared" si="15"/>
        <v>-48634.38</v>
      </c>
    </row>
    <row r="72" spans="1:15" x14ac:dyDescent="0.3">
      <c r="A72" s="4" t="s">
        <v>69</v>
      </c>
      <c r="B72" s="12">
        <f t="shared" ref="B72:N72" si="18">B64+B71</f>
        <v>-38542.58</v>
      </c>
      <c r="C72" s="12">
        <f t="shared" si="18"/>
        <v>-39260.700000000004</v>
      </c>
      <c r="D72" s="12">
        <f t="shared" si="18"/>
        <v>292720.48000000004</v>
      </c>
      <c r="E72" s="12">
        <f t="shared" si="18"/>
        <v>132441.49</v>
      </c>
      <c r="F72" s="12">
        <f t="shared" si="18"/>
        <v>80471.140000000014</v>
      </c>
      <c r="G72" s="12">
        <f t="shared" si="18"/>
        <v>-24484.980000000003</v>
      </c>
      <c r="H72" s="12">
        <f t="shared" si="18"/>
        <v>-63065.909999999974</v>
      </c>
      <c r="I72" s="12">
        <f t="shared" si="18"/>
        <v>-12462.640000000007</v>
      </c>
      <c r="J72" s="12">
        <f t="shared" si="18"/>
        <v>-29552.62</v>
      </c>
      <c r="K72" s="12">
        <f t="shared" si="18"/>
        <v>-23012.15</v>
      </c>
      <c r="L72" s="12">
        <f t="shared" si="18"/>
        <v>-38241.68</v>
      </c>
      <c r="M72" s="12">
        <f t="shared" si="18"/>
        <v>20122.260000000002</v>
      </c>
      <c r="N72" s="12">
        <f t="shared" si="18"/>
        <v>19193.460000000003</v>
      </c>
      <c r="O72" s="13">
        <f t="shared" si="15"/>
        <v>276325.57000000012</v>
      </c>
    </row>
    <row r="76" spans="1:15" x14ac:dyDescent="0.3">
      <c r="A76" s="20" t="s">
        <v>85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</sheetData>
  <mergeCells count="4">
    <mergeCell ref="A1:O1"/>
    <mergeCell ref="A2:O2"/>
    <mergeCell ref="A3:O3"/>
    <mergeCell ref="A76:O7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Adeline Dougherty</cp:lastModifiedBy>
  <dcterms:created xsi:type="dcterms:W3CDTF">2022-03-24T08:55:57Z</dcterms:created>
  <dcterms:modified xsi:type="dcterms:W3CDTF">2026-08-04T15:21:21Z</dcterms:modified>
  <cp:category/>
</cp:coreProperties>
</file>