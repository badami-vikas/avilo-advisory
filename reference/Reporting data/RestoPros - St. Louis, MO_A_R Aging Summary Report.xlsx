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<sst xmlns="http://schemas.openxmlformats.org/spreadsheetml/2006/main" count="36" uniqueCount="36">
  <si>
    <t>RestoPros - St. Louis, MO</t>
  </si>
  <si>
    <t>A/R Aging Summary Report</t>
  </si>
  <si>
    <t>As of Jun 30, 2026</t>
  </si>
  <si>
    <t>Andrea Anthony</t>
  </si>
  <si>
    <t>02MO0226-027WTR [Water]</t>
  </si>
  <si>
    <t>Total for Andrea Anthony</t>
  </si>
  <si>
    <t>Cypress Village</t>
  </si>
  <si>
    <t>Dan Casey</t>
  </si>
  <si>
    <t>Dan Dial</t>
  </si>
  <si>
    <t>STL0725-054WTR [Water]</t>
  </si>
  <si>
    <t>Total for Dan Dial</t>
  </si>
  <si>
    <t>Emily Thomason</t>
  </si>
  <si>
    <t>02MO0226-029BIO [BioHazard]</t>
  </si>
  <si>
    <t>Total for Emily Thomason</t>
  </si>
  <si>
    <t>Eric / Kaitlin Wolfe</t>
  </si>
  <si>
    <t>Jacob Switzer</t>
  </si>
  <si>
    <t>Jason Roberts</t>
  </si>
  <si>
    <t>Kelly Buerke</t>
  </si>
  <si>
    <t>Mayra Valle</t>
  </si>
  <si>
    <t>02MO1125-086RCON [Reconstruction]</t>
  </si>
  <si>
    <t>STL0925-067STM [Storm Damage]</t>
  </si>
  <si>
    <t>Total for Mayra Valle</t>
  </si>
  <si>
    <t>Michael Hutchinson</t>
  </si>
  <si>
    <t>STL0925-070WTR [Water]</t>
  </si>
  <si>
    <t>Total for Michael Hutchinson</t>
  </si>
  <si>
    <t>Shara Hefner</t>
  </si>
  <si>
    <t>Wayne Winchester</t>
  </si>
  <si>
    <t>TOTAL</t>
  </si>
  <si>
    <t/>
  </si>
  <si>
    <t>CURRENT</t>
  </si>
  <si>
    <t>1 - 30</t>
  </si>
  <si>
    <t>31 - 60</t>
  </si>
  <si>
    <t>61 - 90</t>
  </si>
  <si>
    <t>91 AND OVER</t>
  </si>
  <si>
    <t>Total</t>
  </si>
  <si>
    <t xml:space="preserve"> Wednesday, July 01, 2026 09:14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</si>
</sst>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177" fontId="3" fillId="0" borderId="0" xfId="0" applyNumberFormat="1" applyFont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34"/>
  <sheetViews>
    <sheetView tabSelected="1" workbookViewId="0" topLeftCell="A1"/>
  </sheetViews>
  <sheetFormatPr defaultColWidth="11.255" defaultRowHeight="16"/>
  <cols>
    <col min="1" max="1" width="29" style="34" customWidth="1"/>
    <col min="2" max="5" width="7.5" style="34" customWidth="1"/>
    <col min="6" max="6" width="10.125" style="34" customWidth="1"/>
    <col min="7" max="7" width="16.125" style="34" customWidth="1"/>
  </cols>
  <sheetData>
    <row r="1" spans="1:1" ht="16">
      <c r="A1" s="26" t="s">
        <v>0</v>
      </c>
    </row>
    <row r="2" spans="1:1" ht="16">
      <c r="A2" s="27" t="s">
        <v>1</v>
      </c>
    </row>
    <row r="3" spans="1:1" ht="16">
      <c r="A3" s="28" t="s">
        <v>2</v>
      </c>
    </row>
    <row r="5" spans="1:7" ht="16">
      <c r="A5" s="36" t="s">
        <v>28</v>
      </c>
      <c r="B5" s="39" t="s">
        <v>29</v>
      </c>
      <c r="C5" s="39" t="s">
        <v>30</v>
      </c>
      <c r="D5" s="39" t="s">
        <v>31</v>
      </c>
      <c r="E5" s="39" t="s">
        <v>32</v>
      </c>
      <c r="F5" s="39" t="s">
        <v>33</v>
      </c>
      <c r="G5" s="39" t="s">
        <v>34</v>
      </c>
    </row>
    <row r="6" spans="1:7" ht="16">
      <c r="A6" s="30" t="s">
        <v>3</v>
      </c>
      <c r="B6" s="37"/>
      <c r="C6" s="37"/>
      <c r="D6" s="37"/>
      <c r="E6" s="37"/>
      <c r="F6" s="37"/>
      <c r="G6" s="37"/>
    </row>
    <row r="7" spans="1:7" ht="16">
      <c r="A7" s="31" t="s">
        <v>4</v>
      </c>
      <c r="B7" s="37"/>
      <c r="C7" s="37"/>
      <c r="D7" s="37"/>
      <c r="E7" s="37"/>
      <c r="F7" s="40">
        <v>18158.24</v>
      </c>
      <c r="G7" s="40">
        <f>B7+C7+D7+E7+F7</f>
        <v>18158.24</v>
      </c>
    </row>
    <row r="8" spans="1:7" ht="16">
      <c r="A8" s="32" t="s">
        <v>5</v>
      </c>
      <c r="B8" s="38">
        <f>B6+B7</f>
        <v>0.0</v>
      </c>
      <c r="C8" s="38">
        <f>C6+C7</f>
        <v>0.0</v>
      </c>
      <c r="D8" s="38">
        <f>D6+D7</f>
        <v>0.0</v>
      </c>
      <c r="E8" s="38">
        <f>E6+E7</f>
        <v>0.0</v>
      </c>
      <c r="F8" s="41">
        <f>F6+F7</f>
        <v>18158.24</v>
      </c>
      <c r="G8" s="38">
        <f>B8+C8+D8+E8+F8</f>
        <v>18158.24</v>
      </c>
    </row>
    <row r="9" spans="1:7" ht="16">
      <c r="A9" s="30" t="s">
        <v>6</v>
      </c>
      <c r="B9" s="37"/>
      <c r="C9" s="37"/>
      <c r="D9" s="37"/>
      <c r="E9" s="37"/>
      <c r="F9" s="42">
        <v>0</v>
      </c>
      <c r="G9" s="42">
        <f>B9+C9+D9+E9+F9</f>
        <v>0.0</v>
      </c>
    </row>
    <row r="10" spans="1:7" ht="16">
      <c r="A10" s="30" t="s">
        <v>7</v>
      </c>
      <c r="B10" s="37"/>
      <c r="C10" s="37"/>
      <c r="D10" s="40">
        <v>10000.0</v>
      </c>
      <c r="E10" s="37"/>
      <c r="F10" s="37"/>
      <c r="G10" s="40">
        <f>B10+C10+D10+E10+F10</f>
        <v>10000.0</v>
      </c>
    </row>
    <row r="11" spans="1:7" ht="16">
      <c r="A11" s="30" t="s">
        <v>8</v>
      </c>
      <c r="B11" s="37"/>
      <c r="C11" s="37"/>
      <c r="D11" s="37"/>
      <c r="E11" s="37"/>
      <c r="F11" s="37"/>
      <c r="G11" s="37"/>
    </row>
    <row r="12" spans="1:7" ht="16">
      <c r="A12" s="31" t="s">
        <v>9</v>
      </c>
      <c r="B12" s="37"/>
      <c r="C12" s="37"/>
      <c r="D12" s="37"/>
      <c r="E12" s="37"/>
      <c r="F12" s="40">
        <v>40069.41</v>
      </c>
      <c r="G12" s="40">
        <f>B12+C12+D12+E12+F12</f>
        <v>40069.41</v>
      </c>
    </row>
    <row r="13" spans="1:7" ht="16">
      <c r="A13" s="32" t="s">
        <v>10</v>
      </c>
      <c r="B13" s="38">
        <f>B11+B12</f>
        <v>0.0</v>
      </c>
      <c r="C13" s="38">
        <f>C11+C12</f>
        <v>0.0</v>
      </c>
      <c r="D13" s="38">
        <f>D11+D12</f>
        <v>0.0</v>
      </c>
      <c r="E13" s="38">
        <f>E11+E12</f>
        <v>0.0</v>
      </c>
      <c r="F13" s="41">
        <f>F11+F12</f>
        <v>40069.41</v>
      </c>
      <c r="G13" s="38">
        <f>B13+C13+D13+E13+F13</f>
        <v>40069.41</v>
      </c>
    </row>
    <row r="14" spans="1:7" ht="16">
      <c r="A14" s="30" t="s">
        <v>11</v>
      </c>
      <c r="B14" s="37"/>
      <c r="C14" s="37"/>
      <c r="D14" s="37"/>
      <c r="E14" s="37"/>
      <c r="F14" s="37"/>
      <c r="G14" s="37"/>
    </row>
    <row r="15" spans="1:7" ht="16">
      <c r="A15" s="31" t="s">
        <v>12</v>
      </c>
      <c r="B15" s="37"/>
      <c r="C15" s="37"/>
      <c r="D15" s="37"/>
      <c r="E15" s="37"/>
      <c r="F15" s="40">
        <v>27760.79</v>
      </c>
      <c r="G15" s="40">
        <f>B15+C15+D15+E15+F15</f>
        <v>27760.79</v>
      </c>
    </row>
    <row r="16" spans="1:7" ht="16">
      <c r="A16" s="32" t="s">
        <v>13</v>
      </c>
      <c r="B16" s="38">
        <f>B14+B15</f>
        <v>0.0</v>
      </c>
      <c r="C16" s="38">
        <f>C14+C15</f>
        <v>0.0</v>
      </c>
      <c r="D16" s="38">
        <f>D14+D15</f>
        <v>0.0</v>
      </c>
      <c r="E16" s="38">
        <f>E14+E15</f>
        <v>0.0</v>
      </c>
      <c r="F16" s="41">
        <f>F14+F15</f>
        <v>27760.79</v>
      </c>
      <c r="G16" s="38">
        <f>B16+C16+D16+E16+F16</f>
        <v>27760.79</v>
      </c>
    </row>
    <row r="17" spans="1:7" ht="16">
      <c r="A17" s="30" t="s">
        <v>14</v>
      </c>
      <c r="B17" s="37"/>
      <c r="C17" s="40">
        <v>2620.59</v>
      </c>
      <c r="D17" s="37"/>
      <c r="E17" s="37"/>
      <c r="F17" s="37"/>
      <c r="G17" s="40">
        <f>B17+C17+D17+E17+F17</f>
        <v>2620.59</v>
      </c>
    </row>
    <row r="18" spans="1:7" ht="16">
      <c r="A18" s="30" t="s">
        <v>15</v>
      </c>
      <c r="B18" s="37"/>
      <c r="C18" s="37"/>
      <c r="D18" s="37"/>
      <c r="E18" s="37"/>
      <c r="F18" s="40">
        <v>7537.0</v>
      </c>
      <c r="G18" s="40">
        <f>B18+C18+D18+E18+F18</f>
        <v>7537.0</v>
      </c>
    </row>
    <row r="19" spans="1:7" ht="16">
      <c r="A19" s="30" t="s">
        <v>16</v>
      </c>
      <c r="B19" s="37"/>
      <c r="C19" s="40">
        <v>1700.0</v>
      </c>
      <c r="D19" s="37"/>
      <c r="E19" s="37"/>
      <c r="F19" s="37"/>
      <c r="G19" s="40">
        <f>B19+C19+D19+E19+F19</f>
        <v>1700.0</v>
      </c>
    </row>
    <row r="20" spans="1:7" ht="16">
      <c r="A20" s="30" t="s">
        <v>17</v>
      </c>
      <c r="B20" s="37"/>
      <c r="C20" s="40">
        <v>22300.0</v>
      </c>
      <c r="D20" s="37"/>
      <c r="E20" s="37"/>
      <c r="F20" s="37"/>
      <c r="G20" s="40">
        <f>B20+C20+D20+E20+F20</f>
        <v>22300.0</v>
      </c>
    </row>
    <row r="21" spans="1:7" ht="16">
      <c r="A21" s="30" t="s">
        <v>18</v>
      </c>
      <c r="B21" s="37"/>
      <c r="C21" s="37"/>
      <c r="D21" s="37"/>
      <c r="E21" s="37"/>
      <c r="F21" s="37"/>
      <c r="G21" s="37"/>
    </row>
    <row r="22" spans="1:7" ht="16">
      <c r="A22" s="31" t="s">
        <v>19</v>
      </c>
      <c r="B22" s="37"/>
      <c r="C22" s="37"/>
      <c r="D22" s="37"/>
      <c r="E22" s="37"/>
      <c r="F22" s="40">
        <v>1930.08</v>
      </c>
      <c r="G22" s="40">
        <f>B22+C22+D22+E22+F22</f>
        <v>1930.08</v>
      </c>
    </row>
    <row r="23" spans="1:7" ht="16">
      <c r="A23" s="31" t="s">
        <v>20</v>
      </c>
      <c r="B23" s="37"/>
      <c r="C23" s="37"/>
      <c r="D23" s="37"/>
      <c r="E23" s="37"/>
      <c r="F23" s="40">
        <v>5747.22</v>
      </c>
      <c r="G23" s="40">
        <f>B23+C23+D23+E23+F23</f>
        <v>5747.22</v>
      </c>
    </row>
    <row r="24" spans="1:7" ht="16">
      <c r="A24" s="32" t="s">
        <v>21</v>
      </c>
      <c r="B24" s="38">
        <f>B21+B22+B23</f>
        <v>0.0</v>
      </c>
      <c r="C24" s="38">
        <f>C21+C22+C23</f>
        <v>0.0</v>
      </c>
      <c r="D24" s="38">
        <f>D21+D22+D23</f>
        <v>0.0</v>
      </c>
      <c r="E24" s="38">
        <f>E21+E22+E23</f>
        <v>0.0</v>
      </c>
      <c r="F24" s="41">
        <f>F21+F22+F23</f>
        <v>7677.3</v>
      </c>
      <c r="G24" s="38">
        <f>B24+C24+D24+E24+F24</f>
        <v>7677.3</v>
      </c>
    </row>
    <row r="25" spans="1:7" ht="16">
      <c r="A25" s="30" t="s">
        <v>22</v>
      </c>
      <c r="B25" s="37"/>
      <c r="C25" s="37"/>
      <c r="D25" s="37"/>
      <c r="E25" s="37"/>
      <c r="F25" s="40">
        <v>-184107.55</v>
      </c>
      <c r="G25" s="40">
        <f>B25+C25+D25+E25+F25</f>
        <v>-184107.55</v>
      </c>
    </row>
    <row r="26" spans="1:7" ht="16">
      <c r="A26" s="31" t="s">
        <v>23</v>
      </c>
      <c r="B26" s="37"/>
      <c r="C26" s="37"/>
      <c r="D26" s="37"/>
      <c r="E26" s="37"/>
      <c r="F26" s="40">
        <v>375065.3</v>
      </c>
      <c r="G26" s="40">
        <f>B26+C26+D26+E26+F26</f>
        <v>375065.3</v>
      </c>
    </row>
    <row r="27" spans="1:7" ht="16">
      <c r="A27" s="32" t="s">
        <v>24</v>
      </c>
      <c r="B27" s="38">
        <f>B25+B26</f>
        <v>0.0</v>
      </c>
      <c r="C27" s="38">
        <f>C25+C26</f>
        <v>0.0</v>
      </c>
      <c r="D27" s="38">
        <f>D25+D26</f>
        <v>0.0</v>
      </c>
      <c r="E27" s="38">
        <f>E25+E26</f>
        <v>0.0</v>
      </c>
      <c r="F27" s="41">
        <f>F25+F26</f>
        <v>190957.75</v>
      </c>
      <c r="G27" s="38">
        <f>B27+C27+D27+E27+F27</f>
        <v>190957.75</v>
      </c>
    </row>
    <row r="28" spans="1:7" ht="16">
      <c r="A28" s="30" t="s">
        <v>25</v>
      </c>
      <c r="B28" s="37"/>
      <c r="C28" s="37"/>
      <c r="D28" s="37"/>
      <c r="E28" s="37"/>
      <c r="F28" s="42">
        <v>0</v>
      </c>
      <c r="G28" s="42">
        <f>B28+C28+D28+E28+F28</f>
        <v>0.0</v>
      </c>
    </row>
    <row r="29" spans="1:7" ht="16">
      <c r="A29" s="30" t="s">
        <v>26</v>
      </c>
      <c r="B29" s="37"/>
      <c r="C29" s="40">
        <v>812.69</v>
      </c>
      <c r="D29" s="37"/>
      <c r="E29" s="37"/>
      <c r="F29" s="37"/>
      <c r="G29" s="40">
        <f>B29+C29+D29+E29+F29</f>
        <v>812.69</v>
      </c>
    </row>
    <row r="30" spans="1:7" ht="16">
      <c r="A30" s="33" t="s">
        <v>27</v>
      </c>
      <c r="B30" s="38">
        <f>B8+B9+B10+B13+B16+B17+B18+B19+B20+B24+B27+B28+B29</f>
        <v>0.0</v>
      </c>
      <c r="C30" s="41">
        <f>C8+C9+C10+C13+C16+C17+C18+C19+C20+C24+C27+C28+C29</f>
        <v>27433.28</v>
      </c>
      <c r="D30" s="41">
        <f>D8+D9+D10+D13+D16+D17+D18+D19+D20+D24+D27+D28+D29</f>
        <v>10000.0</v>
      </c>
      <c r="E30" s="38">
        <f>E8+E9+E10+E13+E16+E17+E18+E19+E20+E24+E27+E28+E29</f>
        <v>0.0</v>
      </c>
      <c r="F30" s="41">
        <f>F8+F9+F10+F13+F16+F17+F18+F19+F20+F24+F27+F28+F29</f>
        <v>292160.49</v>
      </c>
      <c r="G30" s="38">
        <f>B30+C30+D30+E30+F30</f>
        <v>329593.77</v>
      </c>
    </row>
    <row r="34" spans="1:1" ht="16">
      <c r="A34" s="43" t="s">
        <v>35</v>
      </c>
    </row>
  </sheetData>
  <mergeCells count="4">
    <mergeCell ref="A1:G1"/>
    <mergeCell ref="A2:G2"/>
    <mergeCell ref="A3:G3"/>
    <mergeCell ref="A34:G3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