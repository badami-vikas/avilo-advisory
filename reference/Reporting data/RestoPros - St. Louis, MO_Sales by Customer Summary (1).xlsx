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7" i="1" l="1"/>
</calcChain>
</file>

<file path=xl/sharedStrings.xml><?xml version="1.0" encoding="utf-8"?>
<sst xmlns="http://schemas.openxmlformats.org/spreadsheetml/2006/main" count="160" uniqueCount="160">
  <si>
    <t>RestoPros - St. Louis, MO</t>
  </si>
  <si>
    <t>Sales by Customer Summary</t>
  </si>
  <si>
    <t>July, 2025-June, 2026</t>
  </si>
  <si>
    <t>Adam Rosenzweig</t>
  </si>
  <si>
    <t>STL0725-055WTR [Water]</t>
  </si>
  <si>
    <t>Total for Adam Rosenzweig</t>
  </si>
  <si>
    <t>Adeline Dougherty</t>
  </si>
  <si>
    <t>Alex Wright</t>
  </si>
  <si>
    <t>02MO1125-091WTR [Water]</t>
  </si>
  <si>
    <t>Total for Alex Wright</t>
  </si>
  <si>
    <t>Amanda Swindle</t>
  </si>
  <si>
    <t>Andrea Anthony</t>
  </si>
  <si>
    <t>02MO0226-027WTR [Water]</t>
  </si>
  <si>
    <t>Total for Andrea Anthony</t>
  </si>
  <si>
    <t>Andrew Eidelman</t>
  </si>
  <si>
    <t>Andrew Fleming</t>
  </si>
  <si>
    <t>STL0725-056WTR [Water]</t>
  </si>
  <si>
    <t>STL0825-057RCON [Reconstruction]</t>
  </si>
  <si>
    <t>Total for Andrew Fleming</t>
  </si>
  <si>
    <t>Andy Morgan</t>
  </si>
  <si>
    <t>02MO1225-093STM [Storm Damage]</t>
  </si>
  <si>
    <t>Total for Andy Morgan</t>
  </si>
  <si>
    <t>Ashwin Parihar</t>
  </si>
  <si>
    <t>Azeem Aftab</t>
  </si>
  <si>
    <t>STL0825-064WTR [Water]</t>
  </si>
  <si>
    <t>Total for Azeem Aftab</t>
  </si>
  <si>
    <t>Cassandra Edison</t>
  </si>
  <si>
    <t>Chris Albin</t>
  </si>
  <si>
    <t>Christine Hyman</t>
  </si>
  <si>
    <t>Christopher Moore</t>
  </si>
  <si>
    <t>02MO1025-074WTR [Water]</t>
  </si>
  <si>
    <t>Total for Christopher Moore</t>
  </si>
  <si>
    <t>Cindy Burman</t>
  </si>
  <si>
    <t>02MO1025-077MLD [Mold]</t>
  </si>
  <si>
    <t>Total for Cindy Burman</t>
  </si>
  <si>
    <t>Curtis Shrieber</t>
  </si>
  <si>
    <t>Cypress Village</t>
  </si>
  <si>
    <t>Dan Bertschmann</t>
  </si>
  <si>
    <t>Dan Casey</t>
  </si>
  <si>
    <t>Dan Dial</t>
  </si>
  <si>
    <t>STL0725-054WTR [Water]</t>
  </si>
  <si>
    <t>Total for Dan Dial</t>
  </si>
  <si>
    <t>Dan Riehle</t>
  </si>
  <si>
    <t>Delia Kennedy</t>
  </si>
  <si>
    <t>02MO1225-097WTR [Water]</t>
  </si>
  <si>
    <t>Total for Delia Kennedy</t>
  </si>
  <si>
    <t>Diane Van Rees</t>
  </si>
  <si>
    <t>02MO1025-076MLD [Mold]</t>
  </si>
  <si>
    <t>Total for Diane Van Rees</t>
  </si>
  <si>
    <t>Dix Yohn</t>
  </si>
  <si>
    <t>02MO1025-082WTR [Water]</t>
  </si>
  <si>
    <t>Total for Dix Yohn</t>
  </si>
  <si>
    <t>Donna Radtke</t>
  </si>
  <si>
    <t>STL0625-047WTR [Water]</t>
  </si>
  <si>
    <t>Total for Donna Radtke</t>
  </si>
  <si>
    <t>Ed Olson</t>
  </si>
  <si>
    <t>02MO1025-081MLD [Mold]</t>
  </si>
  <si>
    <t>Total for Ed Olson</t>
  </si>
  <si>
    <t>Elise Puma</t>
  </si>
  <si>
    <t>02MO0226-032CON [Contents]</t>
  </si>
  <si>
    <t>Total for Elise Puma</t>
  </si>
  <si>
    <t>Elma</t>
  </si>
  <si>
    <t>Emily Thomason</t>
  </si>
  <si>
    <t>02MO0226-029BIO [BioHazard]</t>
  </si>
  <si>
    <t>02MO0226-030CON [Contents]</t>
  </si>
  <si>
    <t>Total for Emily Thomason</t>
  </si>
  <si>
    <t>Eric / Kaitlin Wolfe</t>
  </si>
  <si>
    <t>Georgeann Watts</t>
  </si>
  <si>
    <t>02MO0226-025WTR [Water]</t>
  </si>
  <si>
    <t>02MO0326-046RCON [Reconstruction]</t>
  </si>
  <si>
    <t>STL0425-028WTR [Water]</t>
  </si>
  <si>
    <t>Total for Georgeann Watts</t>
  </si>
  <si>
    <t>Gina Hoffman</t>
  </si>
  <si>
    <t>STL0825-058WTR [Water]</t>
  </si>
  <si>
    <t>Total for Gina Hoffman</t>
  </si>
  <si>
    <t>Jacob Mann</t>
  </si>
  <si>
    <t>02MO1125-087RCON [Reconstruction]</t>
  </si>
  <si>
    <t>Total for Jacob Mann</t>
  </si>
  <si>
    <t>Jacob Switzer</t>
  </si>
  <si>
    <t>02MO0126-021WTR [Water]</t>
  </si>
  <si>
    <t>Total for Jacob Switzer</t>
  </si>
  <si>
    <t>Jamie Biggs</t>
  </si>
  <si>
    <t>Jan Sallis</t>
  </si>
  <si>
    <t>02MO0226-031BIO [BioHazard]</t>
  </si>
  <si>
    <t>Total for Jan Sallis</t>
  </si>
  <si>
    <t>Jason Roberts</t>
  </si>
  <si>
    <t>Jay Rios</t>
  </si>
  <si>
    <t>Jerry Cox</t>
  </si>
  <si>
    <t>02MO0226-040WTR [Water]</t>
  </si>
  <si>
    <t>Total for Jerry Cox</t>
  </si>
  <si>
    <t>Jill Matin</t>
  </si>
  <si>
    <t>02MO1225-101WTR [Water]</t>
  </si>
  <si>
    <t>Total for Jill Matin</t>
  </si>
  <si>
    <t>John Peine</t>
  </si>
  <si>
    <t>STL0825-062MLD [Mold]</t>
  </si>
  <si>
    <t>Total for John Peine</t>
  </si>
  <si>
    <t>Julie Sullivan</t>
  </si>
  <si>
    <t>02MO1025-075WTR [Water]</t>
  </si>
  <si>
    <t>Total for Julie Sullivan</t>
  </si>
  <si>
    <t>Karen Deckard</t>
  </si>
  <si>
    <t>STL0625-049WTR [Water]</t>
  </si>
  <si>
    <t>Total for Karen Deckard</t>
  </si>
  <si>
    <t>Kelly Buerke</t>
  </si>
  <si>
    <t>Kelly Sabharwal</t>
  </si>
  <si>
    <t>STL0925-068STM [Storm Damage]</t>
  </si>
  <si>
    <t>Total for Kelly Sabharwal</t>
  </si>
  <si>
    <t>Kiran Nallapeneni</t>
  </si>
  <si>
    <t>Lincoln Hancock Restoration</t>
  </si>
  <si>
    <t>Linda Barr</t>
  </si>
  <si>
    <t>Logan Williams</t>
  </si>
  <si>
    <t>Mark Androff</t>
  </si>
  <si>
    <t>Mayra Valle</t>
  </si>
  <si>
    <t>02MO1125-086RCON [Reconstruction]</t>
  </si>
  <si>
    <t>STL0925-067STM [Storm Damage]</t>
  </si>
  <si>
    <t>Total for Mayra Valle</t>
  </si>
  <si>
    <t>Michael Hutchinson</t>
  </si>
  <si>
    <t>STL0925-070WTR [Water]</t>
  </si>
  <si>
    <t>Total for Michael Hutchinson</t>
  </si>
  <si>
    <t>Mike Ballard</t>
  </si>
  <si>
    <t>Mitch Simpher</t>
  </si>
  <si>
    <t>Molly Simms</t>
  </si>
  <si>
    <t>Morgan Stock</t>
  </si>
  <si>
    <t>Oponos LLC</t>
  </si>
  <si>
    <t>Paulo Perez</t>
  </si>
  <si>
    <t>STL0925-065WTR [Water]</t>
  </si>
  <si>
    <t>Total for Paulo Perez</t>
  </si>
  <si>
    <t>penny halley</t>
  </si>
  <si>
    <t>02MO1125-084RCON [Reconstruction]</t>
  </si>
  <si>
    <t>STL0925-069WTR [Water]</t>
  </si>
  <si>
    <t>Total for penny halley</t>
  </si>
  <si>
    <t>Ryan Garofalo</t>
  </si>
  <si>
    <t>STL0825-063WTR [Water]</t>
  </si>
  <si>
    <t>Total for Ryan Garofalo</t>
  </si>
  <si>
    <t>Shara Hefner</t>
  </si>
  <si>
    <t>Sue Marlatt</t>
  </si>
  <si>
    <t>STL0825-060WTR [Water]</t>
  </si>
  <si>
    <t>Total for Sue Marlatt</t>
  </si>
  <si>
    <t>Tom Bacon</t>
  </si>
  <si>
    <t>STL0825-059MLD [Mold]</t>
  </si>
  <si>
    <t>Total for Tom Bacon</t>
  </si>
  <si>
    <t>Tyrone Swinton</t>
  </si>
  <si>
    <t>02MO0126-008MLD [Mold]</t>
  </si>
  <si>
    <t>Total for Tyrone Swinton</t>
  </si>
  <si>
    <t>Wayne Winchester</t>
  </si>
  <si>
    <t>TOTAL</t>
  </si>
  <si>
    <t/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</si>
  <si>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</si>
  <si>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</si>
  <si>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</si>
  <si>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</si>
  <si>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</si>
  <si>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</si>
  <si>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</si>
  <si>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</si>
  <si>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</si>
  <si>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</si>
  <si>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</si>
  <si>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</si>
  <si>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Total</t>
  </si>
  <si>
    <t>Accrual Basis Wednesday, July 01, 2026 09:15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</si>
</sst>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4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3" fillId="0" borderId="0" xfId="0" applyNumberFormat="1" applyFont="1"/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51"/>
  <sheetViews>
    <sheetView tabSelected="1" workbookViewId="0" topLeftCell="A1"/>
  </sheetViews>
  <sheetFormatPr defaultColWidth="11.255" defaultRowHeight="16"/>
  <cols>
    <col min="1" max="1" width="29" style="34" customWidth="1"/>
    <col min="2" max="2" width="7.5" style="34" customWidth="1"/>
    <col min="3" max="3" width="16.125" style="34" customWidth="1"/>
    <col min="4" max="4" width="8.375" style="34" customWidth="1"/>
    <col min="5" max="5" width="16.125" style="34" customWidth="1"/>
    <col min="6" max="6" width="7.5" style="34" customWidth="1"/>
    <col min="7" max="7" width="16.125" style="34" customWidth="1"/>
    <col min="8" max="8" width="15.25" style="34" customWidth="1"/>
    <col min="9" max="9" width="7.5" style="34" customWidth="1"/>
    <col min="10" max="10" width="16.125" style="34" customWidth="1"/>
    <col min="11" max="12" width="7.5" style="34" customWidth="1"/>
    <col min="13" max="14" width="16.125" style="34" customWidth="1"/>
  </cols>
  <sheetData>
    <row r="1" spans="1:1" ht="16">
      <c r="A1" s="26" t="s">
        <v>0</v>
      </c>
    </row>
    <row r="2" spans="1:1" ht="16">
      <c r="A2" s="27" t="s">
        <v>1</v>
      </c>
    </row>
    <row r="3" spans="1:1" ht="16">
      <c r="A3" s="28" t="s">
        <v>2</v>
      </c>
    </row>
    <row r="5" spans="1:14" ht="16">
      <c r="A5" s="36" t="s">
        <v>145</v>
      </c>
      <c r="B5" s="41" t="s">
        <v>146</v>
      </c>
      <c r="C5" s="41" t="s">
        <v>147</v>
      </c>
      <c r="D5" s="41" t="s">
        <v>148</v>
      </c>
      <c r="E5" s="41" t="s">
        <v>149</v>
      </c>
      <c r="F5" s="41" t="s">
        <v>150</v>
      </c>
      <c r="G5" s="41" t="s">
        <v>151</v>
      </c>
      <c r="H5" s="41" t="s">
        <v>152</v>
      </c>
      <c r="I5" s="41" t="s">
        <v>153</v>
      </c>
      <c r="J5" s="41" t="s">
        <v>154</v>
      </c>
      <c r="K5" s="41" t="s">
        <v>155</v>
      </c>
      <c r="L5" s="41" t="s">
        <v>156</v>
      </c>
      <c r="M5" s="41" t="s">
        <v>157</v>
      </c>
      <c r="N5" s="41" t="s">
        <v>158</v>
      </c>
    </row>
    <row r="6" spans="1:14" ht="16">
      <c r="A6" s="30" t="s">
        <v>3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ht="16">
      <c r="A7" s="31" t="s">
        <v>4</v>
      </c>
      <c r="B7" s="37"/>
      <c r="C7" s="39">
        <v>3357.81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9">
        <f>B7+C7+D7+E7+F7+G7+H7+I7+J7+K7+L7+M7</f>
        <v>3357.81</v>
      </c>
    </row>
    <row r="8" spans="1:14" ht="16">
      <c r="A8" s="32" t="s">
        <v>5</v>
      </c>
      <c r="B8" s="38">
        <f>B6+B7</f>
        <v>0.0</v>
      </c>
      <c r="C8" s="40">
        <f>C6+C7</f>
        <v>3357.81</v>
      </c>
      <c r="D8" s="38">
        <f>D6+D7</f>
        <v>0.0</v>
      </c>
      <c r="E8" s="38">
        <f>E6+E7</f>
        <v>0.0</v>
      </c>
      <c r="F8" s="38">
        <f>F6+F7</f>
        <v>0.0</v>
      </c>
      <c r="G8" s="38">
        <f>G6+G7</f>
        <v>0.0</v>
      </c>
      <c r="H8" s="38">
        <f>H6+H7</f>
        <v>0.0</v>
      </c>
      <c r="I8" s="38">
        <f>I6+I7</f>
        <v>0.0</v>
      </c>
      <c r="J8" s="38">
        <f>J6+J7</f>
        <v>0.0</v>
      </c>
      <c r="K8" s="38">
        <f>K6+K7</f>
        <v>0.0</v>
      </c>
      <c r="L8" s="38">
        <f>L6+L7</f>
        <v>0.0</v>
      </c>
      <c r="M8" s="38">
        <f>M6+M7</f>
        <v>0.0</v>
      </c>
      <c r="N8" s="38">
        <f>B8+C8+D8+E8+F8+G8+H8+I8+J8+K8+L8+M8</f>
        <v>3357.81</v>
      </c>
    </row>
    <row r="9" spans="1:14" ht="16">
      <c r="A9" s="30" t="s">
        <v>6</v>
      </c>
      <c r="B9" s="37"/>
      <c r="C9" s="37"/>
      <c r="D9" s="37"/>
      <c r="E9" s="37"/>
      <c r="F9" s="37"/>
      <c r="G9" s="37"/>
      <c r="H9" s="37"/>
      <c r="I9" s="37"/>
      <c r="J9" s="42">
        <v>0</v>
      </c>
      <c r="K9" s="37"/>
      <c r="L9" s="37"/>
      <c r="M9" s="37"/>
      <c r="N9" s="42">
        <f>B9+C9+D9+E9+F9+G9+H9+I9+J9+K9+L9+M9</f>
        <v>0.0</v>
      </c>
    </row>
    <row r="10" spans="1:14" ht="16">
      <c r="A10" s="30" t="s">
        <v>7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14" ht="16">
      <c r="A11" s="31" t="s">
        <v>8</v>
      </c>
      <c r="B11" s="37"/>
      <c r="C11" s="37"/>
      <c r="D11" s="37"/>
      <c r="E11" s="37"/>
      <c r="F11" s="39">
        <v>2500.0</v>
      </c>
      <c r="G11" s="37"/>
      <c r="H11" s="37"/>
      <c r="I11" s="37"/>
      <c r="J11" s="37"/>
      <c r="K11" s="37"/>
      <c r="L11" s="37"/>
      <c r="M11" s="37"/>
      <c r="N11" s="39">
        <f>B11+C11+D11+E11+F11+G11+H11+I11+J11+K11+L11+M11</f>
        <v>2500.0</v>
      </c>
    </row>
    <row r="12" spans="1:14" ht="16">
      <c r="A12" s="32" t="s">
        <v>9</v>
      </c>
      <c r="B12" s="38">
        <f>B10+B11</f>
        <v>0.0</v>
      </c>
      <c r="C12" s="38">
        <f>C10+C11</f>
        <v>0.0</v>
      </c>
      <c r="D12" s="38">
        <f>D10+D11</f>
        <v>0.0</v>
      </c>
      <c r="E12" s="38">
        <f>E10+E11</f>
        <v>0.0</v>
      </c>
      <c r="F12" s="40">
        <f>F10+F11</f>
        <v>2500.0</v>
      </c>
      <c r="G12" s="38">
        <f>G10+G11</f>
        <v>0.0</v>
      </c>
      <c r="H12" s="38">
        <f>H10+H11</f>
        <v>0.0</v>
      </c>
      <c r="I12" s="38">
        <f>I10+I11</f>
        <v>0.0</v>
      </c>
      <c r="J12" s="38">
        <f>J10+J11</f>
        <v>0.0</v>
      </c>
      <c r="K12" s="38">
        <f>K10+K11</f>
        <v>0.0</v>
      </c>
      <c r="L12" s="38">
        <f>L10+L11</f>
        <v>0.0</v>
      </c>
      <c r="M12" s="38">
        <f>M10+M11</f>
        <v>0.0</v>
      </c>
      <c r="N12" s="38">
        <f>B12+C12+D12+E12+F12+G12+H12+I12+J12+K12+L12+M12</f>
        <v>2500.0</v>
      </c>
    </row>
    <row r="13" spans="1:14" ht="16">
      <c r="A13" s="30" t="s">
        <v>10</v>
      </c>
      <c r="B13" s="37"/>
      <c r="C13" s="37"/>
      <c r="D13" s="37"/>
      <c r="E13" s="37"/>
      <c r="F13" s="37"/>
      <c r="G13" s="37"/>
      <c r="H13" s="37"/>
      <c r="I13" s="37"/>
      <c r="J13" s="37"/>
      <c r="K13" s="39">
        <v>800.0</v>
      </c>
      <c r="L13" s="37"/>
      <c r="M13" s="37"/>
      <c r="N13" s="39">
        <f>B13+C13+D13+E13+F13+G13+H13+I13+J13+K13+L13+M13</f>
        <v>800.0</v>
      </c>
    </row>
    <row r="14" spans="1:14" ht="16">
      <c r="A14" s="30" t="s">
        <v>11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14" ht="16">
      <c r="A15" s="31" t="s">
        <v>12</v>
      </c>
      <c r="B15" s="37"/>
      <c r="C15" s="37"/>
      <c r="D15" s="37"/>
      <c r="E15" s="37"/>
      <c r="F15" s="37"/>
      <c r="G15" s="37"/>
      <c r="H15" s="37"/>
      <c r="I15" s="37"/>
      <c r="J15" s="39">
        <v>18158.24</v>
      </c>
      <c r="K15" s="37"/>
      <c r="L15" s="37"/>
      <c r="M15" s="37"/>
      <c r="N15" s="39">
        <f>B15+C15+D15+E15+F15+G15+H15+I15+J15+K15+L15+M15</f>
        <v>18158.24</v>
      </c>
    </row>
    <row r="16" spans="1:14" ht="16">
      <c r="A16" s="32" t="s">
        <v>13</v>
      </c>
      <c r="B16" s="38">
        <f>B14+B15</f>
        <v>0.0</v>
      </c>
      <c r="C16" s="38">
        <f>C14+C15</f>
        <v>0.0</v>
      </c>
      <c r="D16" s="38">
        <f>D14+D15</f>
        <v>0.0</v>
      </c>
      <c r="E16" s="38">
        <f>E14+E15</f>
        <v>0.0</v>
      </c>
      <c r="F16" s="38">
        <f>F14+F15</f>
        <v>0.0</v>
      </c>
      <c r="G16" s="38">
        <f>G14+G15</f>
        <v>0.0</v>
      </c>
      <c r="H16" s="38">
        <f>H14+H15</f>
        <v>0.0</v>
      </c>
      <c r="I16" s="38">
        <f>I14+I15</f>
        <v>0.0</v>
      </c>
      <c r="J16" s="40">
        <f>J14+J15</f>
        <v>18158.24</v>
      </c>
      <c r="K16" s="38">
        <f>K14+K15</f>
        <v>0.0</v>
      </c>
      <c r="L16" s="38">
        <f>L14+L15</f>
        <v>0.0</v>
      </c>
      <c r="M16" s="38">
        <f>M14+M15</f>
        <v>0.0</v>
      </c>
      <c r="N16" s="38">
        <f>B16+C16+D16+E16+F16+G16+H16+I16+J16+K16+L16+M16</f>
        <v>18158.24</v>
      </c>
    </row>
    <row r="17" spans="1:14" ht="16">
      <c r="A17" s="30" t="s">
        <v>14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9">
        <v>3850.0</v>
      </c>
      <c r="M17" s="37"/>
      <c r="N17" s="39">
        <f>B17+C17+D17+E17+F17+G17+H17+I17+J17+K17+L17+M17</f>
        <v>3850.0</v>
      </c>
    </row>
    <row r="18" spans="1:14" ht="16">
      <c r="A18" s="30" t="s">
        <v>15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16">
      <c r="A19" s="31" t="s">
        <v>16</v>
      </c>
      <c r="B19" s="37"/>
      <c r="C19" s="39">
        <v>2090.45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9">
        <f>B19+C19+D19+E19+F19+G19+H19+I19+J19+K19+L19+M19</f>
        <v>2090.45</v>
      </c>
    </row>
    <row r="20" spans="1:14" ht="16">
      <c r="A20" s="31" t="s">
        <v>17</v>
      </c>
      <c r="B20" s="37"/>
      <c r="C20" s="39">
        <v>9310.52</v>
      </c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9">
        <f>B20+C20+D20+E20+F20+G20+H20+I20+J20+K20+L20+M20</f>
        <v>9310.52</v>
      </c>
    </row>
    <row r="21" spans="1:14" ht="16">
      <c r="A21" s="32" t="s">
        <v>18</v>
      </c>
      <c r="B21" s="38">
        <f>B18+B19+B20</f>
        <v>0.0</v>
      </c>
      <c r="C21" s="40">
        <f>C18+C19+C20</f>
        <v>11400.970000000001</v>
      </c>
      <c r="D21" s="38">
        <f>D18+D19+D20</f>
        <v>0.0</v>
      </c>
      <c r="E21" s="38">
        <f>E18+E19+E20</f>
        <v>0.0</v>
      </c>
      <c r="F21" s="38">
        <f>F18+F19+F20</f>
        <v>0.0</v>
      </c>
      <c r="G21" s="38">
        <f>G18+G19+G20</f>
        <v>0.0</v>
      </c>
      <c r="H21" s="38">
        <f>H18+H19+H20</f>
        <v>0.0</v>
      </c>
      <c r="I21" s="38">
        <f>I18+I19+I20</f>
        <v>0.0</v>
      </c>
      <c r="J21" s="38">
        <f>J18+J19+J20</f>
        <v>0.0</v>
      </c>
      <c r="K21" s="38">
        <f>K18+K19+K20</f>
        <v>0.0</v>
      </c>
      <c r="L21" s="38">
        <f>L18+L19+L20</f>
        <v>0.0</v>
      </c>
      <c r="M21" s="38">
        <f>M18+M19+M20</f>
        <v>0.0</v>
      </c>
      <c r="N21" s="38">
        <f>B21+C21+D21+E21+F21+G21+H21+I21+J21+K21+L21+M21</f>
        <v>11400.970000000001</v>
      </c>
    </row>
    <row r="22" spans="1:14" ht="16">
      <c r="A22" s="30" t="s">
        <v>19</v>
      </c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6">
      <c r="A23" s="31" t="s">
        <v>20</v>
      </c>
      <c r="B23" s="37"/>
      <c r="C23" s="37"/>
      <c r="D23" s="37"/>
      <c r="E23" s="37"/>
      <c r="F23" s="37"/>
      <c r="G23" s="39">
        <v>750.0</v>
      </c>
      <c r="H23" s="37"/>
      <c r="I23" s="37"/>
      <c r="J23" s="37"/>
      <c r="K23" s="37"/>
      <c r="L23" s="37"/>
      <c r="M23" s="37"/>
      <c r="N23" s="39">
        <f>B23+C23+D23+E23+F23+G23+H23+I23+J23+K23+L23+M23</f>
        <v>750.0</v>
      </c>
    </row>
    <row r="24" spans="1:14" ht="16">
      <c r="A24" s="32" t="s">
        <v>21</v>
      </c>
      <c r="B24" s="38">
        <f>B22+B23</f>
        <v>0.0</v>
      </c>
      <c r="C24" s="38">
        <f>C22+C23</f>
        <v>0.0</v>
      </c>
      <c r="D24" s="38">
        <f>D22+D23</f>
        <v>0.0</v>
      </c>
      <c r="E24" s="38">
        <f>E22+E23</f>
        <v>0.0</v>
      </c>
      <c r="F24" s="38">
        <f>F22+F23</f>
        <v>0.0</v>
      </c>
      <c r="G24" s="40">
        <f>G22+G23</f>
        <v>750.0</v>
      </c>
      <c r="H24" s="38">
        <f>H22+H23</f>
        <v>0.0</v>
      </c>
      <c r="I24" s="38">
        <f>I22+I23</f>
        <v>0.0</v>
      </c>
      <c r="J24" s="38">
        <f>J22+J23</f>
        <v>0.0</v>
      </c>
      <c r="K24" s="38">
        <f>K22+K23</f>
        <v>0.0</v>
      </c>
      <c r="L24" s="38">
        <f>L22+L23</f>
        <v>0.0</v>
      </c>
      <c r="M24" s="38">
        <f>M22+M23</f>
        <v>0.0</v>
      </c>
      <c r="N24" s="38">
        <f>B24+C24+D24+E24+F24+G24+H24+I24+J24+K24+L24+M24</f>
        <v>750.0</v>
      </c>
    </row>
    <row r="25" spans="1:14" ht="16">
      <c r="A25" s="30" t="s">
        <v>22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9">
        <v>1500.0</v>
      </c>
      <c r="N25" s="39">
        <f>B25+C25+D25+E25+F25+G25+H25+I25+J25+K25+L25+M25</f>
        <v>1500.0</v>
      </c>
    </row>
    <row r="26" spans="1:14" ht="16">
      <c r="A26" s="30" t="s">
        <v>23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1:14" ht="16">
      <c r="A27" s="31" t="s">
        <v>24</v>
      </c>
      <c r="B27" s="37"/>
      <c r="C27" s="39">
        <v>1200.0</v>
      </c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9">
        <f>B27+C27+D27+E27+F27+G27+H27+I27+J27+K27+L27+M27</f>
        <v>1200.0</v>
      </c>
    </row>
    <row r="28" spans="1:14" ht="16">
      <c r="A28" s="32" t="s">
        <v>25</v>
      </c>
      <c r="B28" s="38">
        <f>B26+B27</f>
        <v>0.0</v>
      </c>
      <c r="C28" s="40">
        <f>C26+C27</f>
        <v>1200.0</v>
      </c>
      <c r="D28" s="38">
        <f>D26+D27</f>
        <v>0.0</v>
      </c>
      <c r="E28" s="38">
        <f>E26+E27</f>
        <v>0.0</v>
      </c>
      <c r="F28" s="38">
        <f>F26+F27</f>
        <v>0.0</v>
      </c>
      <c r="G28" s="38">
        <f>G26+G27</f>
        <v>0.0</v>
      </c>
      <c r="H28" s="38">
        <f>H26+H27</f>
        <v>0.0</v>
      </c>
      <c r="I28" s="38">
        <f>I26+I27</f>
        <v>0.0</v>
      </c>
      <c r="J28" s="38">
        <f>J26+J27</f>
        <v>0.0</v>
      </c>
      <c r="K28" s="38">
        <f>K26+K27</f>
        <v>0.0</v>
      </c>
      <c r="L28" s="38">
        <f>L26+L27</f>
        <v>0.0</v>
      </c>
      <c r="M28" s="38">
        <f>M26+M27</f>
        <v>0.0</v>
      </c>
      <c r="N28" s="38">
        <f>B28+C28+D28+E28+F28+G28+H28+I28+J28+K28+L28+M28</f>
        <v>1200.0</v>
      </c>
    </row>
    <row r="29" spans="1:14" ht="16">
      <c r="A29" s="30" t="s">
        <v>26</v>
      </c>
      <c r="B29" s="37"/>
      <c r="C29" s="37"/>
      <c r="D29" s="37"/>
      <c r="E29" s="37"/>
      <c r="F29" s="37"/>
      <c r="G29" s="37"/>
      <c r="H29" s="37"/>
      <c r="I29" s="37"/>
      <c r="J29" s="39">
        <v>4000.0</v>
      </c>
      <c r="K29" s="37"/>
      <c r="L29" s="37"/>
      <c r="M29" s="37"/>
      <c r="N29" s="39">
        <f>B29+C29+D29+E29+F29+G29+H29+I29+J29+K29+L29+M29</f>
        <v>4000.0</v>
      </c>
    </row>
    <row r="30" spans="1:14" ht="16">
      <c r="A30" s="30" t="s">
        <v>27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9">
        <v>1933.67</v>
      </c>
      <c r="N30" s="39">
        <f>B30+C30+D30+E30+F30+G30+H30+I30+J30+K30+L30+M30</f>
        <v>1933.67</v>
      </c>
    </row>
    <row r="31" spans="1:14" ht="16">
      <c r="A31" s="30" t="s">
        <v>28</v>
      </c>
      <c r="B31" s="37"/>
      <c r="C31" s="39">
        <v>275.0</v>
      </c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9">
        <f>B31+C31+D31+E31+F31+G31+H31+I31+J31+K31+L31+M31</f>
        <v>275.0</v>
      </c>
    </row>
    <row r="32" spans="1:14" ht="16">
      <c r="A32" s="30" t="s">
        <v>29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1:14" ht="16">
      <c r="A33" s="31" t="s">
        <v>30</v>
      </c>
      <c r="B33" s="37"/>
      <c r="C33" s="37"/>
      <c r="D33" s="37"/>
      <c r="E33" s="37"/>
      <c r="F33" s="39">
        <v>19049.62</v>
      </c>
      <c r="G33" s="37"/>
      <c r="H33" s="37"/>
      <c r="I33" s="37"/>
      <c r="J33" s="37"/>
      <c r="K33" s="37"/>
      <c r="L33" s="37"/>
      <c r="M33" s="37"/>
      <c r="N33" s="39">
        <f>B33+C33+D33+E33+F33+G33+H33+I33+J33+K33+L33+M33</f>
        <v>19049.62</v>
      </c>
    </row>
    <row r="34" spans="1:14" ht="16">
      <c r="A34" s="32" t="s">
        <v>31</v>
      </c>
      <c r="B34" s="38">
        <f>B32+B33</f>
        <v>0.0</v>
      </c>
      <c r="C34" s="38">
        <f>C32+C33</f>
        <v>0.0</v>
      </c>
      <c r="D34" s="38">
        <f>D32+D33</f>
        <v>0.0</v>
      </c>
      <c r="E34" s="38">
        <f>E32+E33</f>
        <v>0.0</v>
      </c>
      <c r="F34" s="40">
        <f>F32+F33</f>
        <v>19049.62</v>
      </c>
      <c r="G34" s="38">
        <f>G32+G33</f>
        <v>0.0</v>
      </c>
      <c r="H34" s="38">
        <f>H32+H33</f>
        <v>0.0</v>
      </c>
      <c r="I34" s="38">
        <f>I32+I33</f>
        <v>0.0</v>
      </c>
      <c r="J34" s="38">
        <f>J32+J33</f>
        <v>0.0</v>
      </c>
      <c r="K34" s="38">
        <f>K32+K33</f>
        <v>0.0</v>
      </c>
      <c r="L34" s="38">
        <f>L32+L33</f>
        <v>0.0</v>
      </c>
      <c r="M34" s="38">
        <f>M32+M33</f>
        <v>0.0</v>
      </c>
      <c r="N34" s="38">
        <f>B34+C34+D34+E34+F34+G34+H34+I34+J34+K34+L34+M34</f>
        <v>19049.62</v>
      </c>
    </row>
    <row r="35" spans="1:14" ht="16">
      <c r="A35" s="30" t="s">
        <v>32</v>
      </c>
      <c r="B35" s="37"/>
      <c r="C35" s="37"/>
      <c r="D35" s="37"/>
      <c r="E35" s="39">
        <v>830.0</v>
      </c>
      <c r="F35" s="37"/>
      <c r="G35" s="37"/>
      <c r="H35" s="37"/>
      <c r="I35" s="37"/>
      <c r="J35" s="37"/>
      <c r="K35" s="37"/>
      <c r="L35" s="37"/>
      <c r="M35" s="37"/>
      <c r="N35" s="39">
        <f>B35+C35+D35+E35+F35+G35+H35+I35+J35+K35+L35+M35</f>
        <v>830.0</v>
      </c>
    </row>
    <row r="36" spans="1:14" ht="16">
      <c r="A36" s="31" t="s">
        <v>33</v>
      </c>
      <c r="B36" s="37"/>
      <c r="C36" s="37"/>
      <c r="D36" s="37"/>
      <c r="E36" s="42">
        <v>0</v>
      </c>
      <c r="F36" s="37"/>
      <c r="G36" s="37"/>
      <c r="H36" s="37"/>
      <c r="I36" s="37"/>
      <c r="J36" s="37"/>
      <c r="K36" s="37"/>
      <c r="L36" s="37"/>
      <c r="M36" s="37"/>
      <c r="N36" s="42">
        <f>B36+C36+D36+E36+F36+G36+H36+I36+J36+K36+L36+M36</f>
        <v>0.0</v>
      </c>
    </row>
    <row r="37" spans="1:14" ht="16">
      <c r="A37" s="32" t="s">
        <v>34</v>
      </c>
      <c r="B37" s="38">
        <f>B35+B36</f>
        <v>0.0</v>
      </c>
      <c r="C37" s="38">
        <f>C35+C36</f>
        <v>0.0</v>
      </c>
      <c r="D37" s="38">
        <f>D35+D36</f>
        <v>0.0</v>
      </c>
      <c r="E37" s="40">
        <f>E35+E36</f>
        <v>830.0</v>
      </c>
      <c r="F37" s="38">
        <f>F35+F36</f>
        <v>0.0</v>
      </c>
      <c r="G37" s="38">
        <f>G35+G36</f>
        <v>0.0</v>
      </c>
      <c r="H37" s="38">
        <f>H35+H36</f>
        <v>0.0</v>
      </c>
      <c r="I37" s="38">
        <f>I35+I36</f>
        <v>0.0</v>
      </c>
      <c r="J37" s="38">
        <f>J35+J36</f>
        <v>0.0</v>
      </c>
      <c r="K37" s="38">
        <f>K35+K36</f>
        <v>0.0</v>
      </c>
      <c r="L37" s="38">
        <f>L35+L36</f>
        <v>0.0</v>
      </c>
      <c r="M37" s="38">
        <f>M35+M36</f>
        <v>0.0</v>
      </c>
      <c r="N37" s="38">
        <f>B37+C37+D37+E37+F37+G37+H37+I37+J37+K37+L37+M37</f>
        <v>830.0</v>
      </c>
    </row>
    <row r="38" spans="1:14" ht="16">
      <c r="A38" s="30" t="s">
        <v>35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9">
        <v>21802.16</v>
      </c>
      <c r="M38" s="37"/>
      <c r="N38" s="39">
        <f>B38+C38+D38+E38+F38+G38+H38+I38+J38+K38+L38+M38</f>
        <v>21802.16</v>
      </c>
    </row>
    <row r="39" spans="1:14" ht="16">
      <c r="A39" s="30" t="s">
        <v>36</v>
      </c>
      <c r="B39" s="37"/>
      <c r="C39" s="37"/>
      <c r="D39" s="37"/>
      <c r="E39" s="37"/>
      <c r="F39" s="37"/>
      <c r="G39" s="37"/>
      <c r="H39" s="39">
        <v>149.0</v>
      </c>
      <c r="I39" s="37"/>
      <c r="J39" s="37"/>
      <c r="K39" s="37"/>
      <c r="L39" s="37"/>
      <c r="M39" s="37"/>
      <c r="N39" s="39">
        <f>B39+C39+D39+E39+F39+G39+H39+I39+J39+K39+L39+M39</f>
        <v>149.0</v>
      </c>
    </row>
    <row r="40" spans="1:14" ht="16">
      <c r="A40" s="30" t="s">
        <v>37</v>
      </c>
      <c r="B40" s="37"/>
      <c r="C40" s="37"/>
      <c r="D40" s="37"/>
      <c r="E40" s="39">
        <v>4500.0</v>
      </c>
      <c r="F40" s="37"/>
      <c r="G40" s="37"/>
      <c r="H40" s="37"/>
      <c r="I40" s="37"/>
      <c r="J40" s="37"/>
      <c r="K40" s="37"/>
      <c r="L40" s="37"/>
      <c r="M40" s="37"/>
      <c r="N40" s="39">
        <f>B40+C40+D40+E40+F40+G40+H40+I40+J40+K40+L40+M40</f>
        <v>4500.0</v>
      </c>
    </row>
    <row r="41" spans="1:14" ht="16">
      <c r="A41" s="30" t="s">
        <v>38</v>
      </c>
      <c r="B41" s="37"/>
      <c r="C41" s="37"/>
      <c r="D41" s="37"/>
      <c r="E41" s="37"/>
      <c r="F41" s="37"/>
      <c r="G41" s="37"/>
      <c r="H41" s="37"/>
      <c r="I41" s="37"/>
      <c r="J41" s="37"/>
      <c r="K41" s="39">
        <v>6565.0</v>
      </c>
      <c r="L41" s="39">
        <v>20000.0</v>
      </c>
      <c r="M41" s="37"/>
      <c r="N41" s="39">
        <f>B41+C41+D41+E41+F41+G41+H41+I41+J41+K41+L41+M41</f>
        <v>26565.0</v>
      </c>
    </row>
    <row r="42" spans="1:14" ht="16">
      <c r="A42" s="30" t="s">
        <v>39</v>
      </c>
      <c r="B42" s="37"/>
      <c r="C42" s="39">
        <v>3301.12</v>
      </c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9">
        <f>B42+C42+D42+E42+F42+G42+H42+I42+J42+K42+L42+M42</f>
        <v>3301.12</v>
      </c>
    </row>
    <row r="43" spans="1:14" ht="16">
      <c r="A43" s="31" t="s">
        <v>40</v>
      </c>
      <c r="B43" s="37"/>
      <c r="C43" s="39">
        <v>124424.58</v>
      </c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B43+C43+D43+E43+F43+G43+H43+I43+J43+K43+L43+M43</f>
        <v>124424.58</v>
      </c>
    </row>
    <row r="44" spans="1:14" ht="16">
      <c r="A44" s="32" t="s">
        <v>41</v>
      </c>
      <c r="B44" s="38">
        <f>B42+B43</f>
        <v>0.0</v>
      </c>
      <c r="C44" s="40">
        <f>C42+C43</f>
        <v>127725.7</v>
      </c>
      <c r="D44" s="38">
        <f>D42+D43</f>
        <v>0.0</v>
      </c>
      <c r="E44" s="38">
        <f>E42+E43</f>
        <v>0.0</v>
      </c>
      <c r="F44" s="38">
        <f>F42+F43</f>
        <v>0.0</v>
      </c>
      <c r="G44" s="38">
        <f>G42+G43</f>
        <v>0.0</v>
      </c>
      <c r="H44" s="38">
        <f>H42+H43</f>
        <v>0.0</v>
      </c>
      <c r="I44" s="38">
        <f>I42+I43</f>
        <v>0.0</v>
      </c>
      <c r="J44" s="38">
        <f>J42+J43</f>
        <v>0.0</v>
      </c>
      <c r="K44" s="38">
        <f>K42+K43</f>
        <v>0.0</v>
      </c>
      <c r="L44" s="38">
        <f>L42+L43</f>
        <v>0.0</v>
      </c>
      <c r="M44" s="38">
        <f>M42+M43</f>
        <v>0.0</v>
      </c>
      <c r="N44" s="38">
        <f>B44+C44+D44+E44+F44+G44+H44+I44+J44+K44+L44+M44</f>
        <v>127725.7</v>
      </c>
    </row>
    <row r="45" spans="1:14" ht="16">
      <c r="A45" s="30" t="s">
        <v>42</v>
      </c>
      <c r="B45" s="37"/>
      <c r="C45" s="37"/>
      <c r="D45" s="37"/>
      <c r="E45" s="37"/>
      <c r="F45" s="37"/>
      <c r="G45" s="37"/>
      <c r="H45" s="37"/>
      <c r="I45" s="37"/>
      <c r="J45" s="39">
        <v>350.0</v>
      </c>
      <c r="K45" s="37"/>
      <c r="L45" s="37"/>
      <c r="M45" s="37"/>
      <c r="N45" s="39">
        <f>B45+C45+D45+E45+F45+G45+H45+I45+J45+K45+L45+M45</f>
        <v>350.0</v>
      </c>
    </row>
    <row r="46" spans="1:14" ht="16">
      <c r="A46" s="30" t="s">
        <v>43</v>
      </c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</row>
    <row r="47" spans="1:14" ht="16">
      <c r="A47" s="31" t="s">
        <v>44</v>
      </c>
      <c r="B47" s="37"/>
      <c r="C47" s="37"/>
      <c r="D47" s="37"/>
      <c r="E47" s="39">
        <v>500.0</v>
      </c>
      <c r="F47" s="37"/>
      <c r="G47" s="37"/>
      <c r="H47" s="37"/>
      <c r="I47" s="37"/>
      <c r="J47" s="37"/>
      <c r="K47" s="37"/>
      <c r="L47" s="37"/>
      <c r="M47" s="37"/>
      <c r="N47" s="39">
        <f>B47+C47+D47+E47+F47+G47+H47+I47+J47+K47+L47+M47</f>
        <v>500.0</v>
      </c>
    </row>
    <row r="48" spans="1:14" ht="16">
      <c r="A48" s="32" t="s">
        <v>45</v>
      </c>
      <c r="B48" s="38">
        <f>B46+B47</f>
        <v>0.0</v>
      </c>
      <c r="C48" s="38">
        <f>C46+C47</f>
        <v>0.0</v>
      </c>
      <c r="D48" s="38">
        <f>D46+D47</f>
        <v>0.0</v>
      </c>
      <c r="E48" s="40">
        <f>E46+E47</f>
        <v>500.0</v>
      </c>
      <c r="F48" s="38">
        <f>F46+F47</f>
        <v>0.0</v>
      </c>
      <c r="G48" s="38">
        <f>G46+G47</f>
        <v>0.0</v>
      </c>
      <c r="H48" s="38">
        <f>H46+H47</f>
        <v>0.0</v>
      </c>
      <c r="I48" s="38">
        <f>I46+I47</f>
        <v>0.0</v>
      </c>
      <c r="J48" s="38">
        <f>J46+J47</f>
        <v>0.0</v>
      </c>
      <c r="K48" s="38">
        <f>K46+K47</f>
        <v>0.0</v>
      </c>
      <c r="L48" s="38">
        <f>L46+L47</f>
        <v>0.0</v>
      </c>
      <c r="M48" s="38">
        <f>M46+M47</f>
        <v>0.0</v>
      </c>
      <c r="N48" s="38">
        <f>B48+C48+D48+E48+F48+G48+H48+I48+J48+K48+L48+M48</f>
        <v>500.0</v>
      </c>
    </row>
    <row r="49" spans="1:14" ht="16">
      <c r="A49" s="30" t="s">
        <v>46</v>
      </c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</row>
    <row r="50" spans="1:14" ht="16">
      <c r="A50" s="31" t="s">
        <v>47</v>
      </c>
      <c r="B50" s="37"/>
      <c r="C50" s="37"/>
      <c r="D50" s="37"/>
      <c r="E50" s="39">
        <v>1500.0</v>
      </c>
      <c r="F50" s="37"/>
      <c r="G50" s="37"/>
      <c r="H50" s="37"/>
      <c r="I50" s="37"/>
      <c r="J50" s="37"/>
      <c r="K50" s="37"/>
      <c r="L50" s="37"/>
      <c r="M50" s="37"/>
      <c r="N50" s="39">
        <f>B50+C50+D50+E50+F50+G50+H50+I50+J50+K50+L50+M50</f>
        <v>1500.0</v>
      </c>
    </row>
    <row r="51" spans="1:14" ht="16">
      <c r="A51" s="32" t="s">
        <v>48</v>
      </c>
      <c r="B51" s="38">
        <f>B49+B50</f>
        <v>0.0</v>
      </c>
      <c r="C51" s="38">
        <f>C49+C50</f>
        <v>0.0</v>
      </c>
      <c r="D51" s="38">
        <f>D49+D50</f>
        <v>0.0</v>
      </c>
      <c r="E51" s="40">
        <f>E49+E50</f>
        <v>1500.0</v>
      </c>
      <c r="F51" s="38">
        <f>F49+F50</f>
        <v>0.0</v>
      </c>
      <c r="G51" s="38">
        <f>G49+G50</f>
        <v>0.0</v>
      </c>
      <c r="H51" s="38">
        <f>H49+H50</f>
        <v>0.0</v>
      </c>
      <c r="I51" s="38">
        <f>I49+I50</f>
        <v>0.0</v>
      </c>
      <c r="J51" s="38">
        <f>J49+J50</f>
        <v>0.0</v>
      </c>
      <c r="K51" s="38">
        <f>K49+K50</f>
        <v>0.0</v>
      </c>
      <c r="L51" s="38">
        <f>L49+L50</f>
        <v>0.0</v>
      </c>
      <c r="M51" s="38">
        <f>M49+M50</f>
        <v>0.0</v>
      </c>
      <c r="N51" s="38">
        <f>B51+C51+D51+E51+F51+G51+H51+I51+J51+K51+L51+M51</f>
        <v>1500.0</v>
      </c>
    </row>
    <row r="52" spans="1:14" ht="16">
      <c r="A52" s="30" t="s">
        <v>49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</row>
    <row r="53" spans="1:14" ht="16">
      <c r="A53" s="31" t="s">
        <v>50</v>
      </c>
      <c r="B53" s="37"/>
      <c r="C53" s="37"/>
      <c r="D53" s="37"/>
      <c r="E53" s="39">
        <v>300.0</v>
      </c>
      <c r="F53" s="37"/>
      <c r="G53" s="37"/>
      <c r="H53" s="37"/>
      <c r="I53" s="37"/>
      <c r="J53" s="37"/>
      <c r="K53" s="37"/>
      <c r="L53" s="37"/>
      <c r="M53" s="37"/>
      <c r="N53" s="39">
        <f>B53+C53+D53+E53+F53+G53+H53+I53+J53+K53+L53+M53</f>
        <v>300.0</v>
      </c>
    </row>
    <row r="54" spans="1:14" ht="16">
      <c r="A54" s="32" t="s">
        <v>51</v>
      </c>
      <c r="B54" s="38">
        <f>B52+B53</f>
        <v>0.0</v>
      </c>
      <c r="C54" s="38">
        <f>C52+C53</f>
        <v>0.0</v>
      </c>
      <c r="D54" s="38">
        <f>D52+D53</f>
        <v>0.0</v>
      </c>
      <c r="E54" s="40">
        <f>E52+E53</f>
        <v>300.0</v>
      </c>
      <c r="F54" s="38">
        <f>F52+F53</f>
        <v>0.0</v>
      </c>
      <c r="G54" s="38">
        <f>G52+G53</f>
        <v>0.0</v>
      </c>
      <c r="H54" s="38">
        <f>H52+H53</f>
        <v>0.0</v>
      </c>
      <c r="I54" s="38">
        <f>I52+I53</f>
        <v>0.0</v>
      </c>
      <c r="J54" s="38">
        <f>J52+J53</f>
        <v>0.0</v>
      </c>
      <c r="K54" s="38">
        <f>K52+K53</f>
        <v>0.0</v>
      </c>
      <c r="L54" s="38">
        <f>L52+L53</f>
        <v>0.0</v>
      </c>
      <c r="M54" s="38">
        <f>M52+M53</f>
        <v>0.0</v>
      </c>
      <c r="N54" s="38">
        <f>B54+C54+D54+E54+F54+G54+H54+I54+J54+K54+L54+M54</f>
        <v>300.0</v>
      </c>
    </row>
    <row r="55" spans="1:14" ht="16">
      <c r="A55" s="30" t="s">
        <v>52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</row>
    <row r="56" spans="1:14" ht="16">
      <c r="A56" s="31" t="s">
        <v>53</v>
      </c>
      <c r="B56" s="37"/>
      <c r="C56" s="39">
        <v>2286.94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9">
        <f>B56+C56+D56+E56+F56+G56+H56+I56+J56+K56+L56+M56</f>
        <v>2286.94</v>
      </c>
    </row>
    <row r="57" spans="1:14" ht="16">
      <c r="A57" s="32" t="s">
        <v>54</v>
      </c>
      <c r="B57" s="38">
        <f>B55+B56</f>
        <v>0.0</v>
      </c>
      <c r="C57" s="40">
        <f>C55+C56</f>
        <v>2286.94</v>
      </c>
      <c r="D57" s="38">
        <f>D55+D56</f>
        <v>0.0</v>
      </c>
      <c r="E57" s="38">
        <f>E55+E56</f>
        <v>0.0</v>
      </c>
      <c r="F57" s="38">
        <f>F55+F56</f>
        <v>0.0</v>
      </c>
      <c r="G57" s="38">
        <f>G55+G56</f>
        <v>0.0</v>
      </c>
      <c r="H57" s="38">
        <f>H55+H56</f>
        <v>0.0</v>
      </c>
      <c r="I57" s="38">
        <f>I55+I56</f>
        <v>0.0</v>
      </c>
      <c r="J57" s="38">
        <f>J55+J56</f>
        <v>0.0</v>
      </c>
      <c r="K57" s="38">
        <f>K55+K56</f>
        <v>0.0</v>
      </c>
      <c r="L57" s="38">
        <f>L55+L56</f>
        <v>0.0</v>
      </c>
      <c r="M57" s="38">
        <f>M55+M56</f>
        <v>0.0</v>
      </c>
      <c r="N57" s="38">
        <f>B57+C57+D57+E57+F57+G57+H57+I57+J57+K57+L57+M57</f>
        <v>2286.94</v>
      </c>
    </row>
    <row r="58" spans="1:14" ht="16">
      <c r="A58" s="30" t="s">
        <v>55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</row>
    <row r="59" spans="1:14" ht="16">
      <c r="A59" s="31" t="s">
        <v>56</v>
      </c>
      <c r="B59" s="37"/>
      <c r="C59" s="37"/>
      <c r="D59" s="37"/>
      <c r="E59" s="37"/>
      <c r="F59" s="37"/>
      <c r="G59" s="39">
        <v>8365.1</v>
      </c>
      <c r="H59" s="37"/>
      <c r="I59" s="37"/>
      <c r="J59" s="37"/>
      <c r="K59" s="37"/>
      <c r="L59" s="37"/>
      <c r="M59" s="37"/>
      <c r="N59" s="39">
        <f>B59+C59+D59+E59+F59+G59+H59+I59+J59+K59+L59+M59</f>
        <v>8365.1</v>
      </c>
    </row>
    <row r="60" spans="1:14" ht="16">
      <c r="A60" s="32" t="s">
        <v>57</v>
      </c>
      <c r="B60" s="38">
        <f>B58+B59</f>
        <v>0.0</v>
      </c>
      <c r="C60" s="38">
        <f>C58+C59</f>
        <v>0.0</v>
      </c>
      <c r="D60" s="38">
        <f>D58+D59</f>
        <v>0.0</v>
      </c>
      <c r="E60" s="38">
        <f>E58+E59</f>
        <v>0.0</v>
      </c>
      <c r="F60" s="38">
        <f>F58+F59</f>
        <v>0.0</v>
      </c>
      <c r="G60" s="40">
        <f>G58+G59</f>
        <v>8365.1</v>
      </c>
      <c r="H60" s="38">
        <f>H58+H59</f>
        <v>0.0</v>
      </c>
      <c r="I60" s="38">
        <f>I58+I59</f>
        <v>0.0</v>
      </c>
      <c r="J60" s="38">
        <f>J58+J59</f>
        <v>0.0</v>
      </c>
      <c r="K60" s="38">
        <f>K58+K59</f>
        <v>0.0</v>
      </c>
      <c r="L60" s="38">
        <f>L58+L59</f>
        <v>0.0</v>
      </c>
      <c r="M60" s="38">
        <f>M58+M59</f>
        <v>0.0</v>
      </c>
      <c r="N60" s="38">
        <f>B60+C60+D60+E60+F60+G60+H60+I60+J60+K60+L60+M60</f>
        <v>8365.1</v>
      </c>
    </row>
    <row r="61" spans="1:14" ht="16">
      <c r="A61" s="30" t="s">
        <v>58</v>
      </c>
      <c r="B61" s="37"/>
      <c r="C61" s="37"/>
      <c r="D61" s="37"/>
      <c r="E61" s="37"/>
      <c r="F61" s="37"/>
      <c r="G61" s="39">
        <v>69576.4</v>
      </c>
      <c r="H61" s="37"/>
      <c r="I61" s="37"/>
      <c r="J61" s="37"/>
      <c r="K61" s="37"/>
      <c r="L61" s="37"/>
      <c r="M61" s="37"/>
      <c r="N61" s="39">
        <f>B61+C61+D61+E61+F61+G61+H61+I61+J61+K61+L61+M61</f>
        <v>69576.4</v>
      </c>
    </row>
    <row r="62" spans="1:14" ht="16">
      <c r="A62" s="31" t="s">
        <v>59</v>
      </c>
      <c r="B62" s="37"/>
      <c r="C62" s="37"/>
      <c r="D62" s="37"/>
      <c r="E62" s="37"/>
      <c r="F62" s="37"/>
      <c r="G62" s="39">
        <v>15534.35</v>
      </c>
      <c r="H62" s="39">
        <v>-6616.43</v>
      </c>
      <c r="I62" s="37"/>
      <c r="J62" s="37"/>
      <c r="K62" s="37"/>
      <c r="L62" s="37"/>
      <c r="M62" s="37"/>
      <c r="N62" s="39">
        <f>B62+C62+D62+E62+F62+G62+H62+I62+J62+K62+L62+M62</f>
        <v>8917.92</v>
      </c>
    </row>
    <row r="63" spans="1:14" ht="16">
      <c r="A63" s="32" t="s">
        <v>60</v>
      </c>
      <c r="B63" s="38">
        <f>B61+B62</f>
        <v>0.0</v>
      </c>
      <c r="C63" s="38">
        <f>C61+C62</f>
        <v>0.0</v>
      </c>
      <c r="D63" s="38">
        <f>D61+D62</f>
        <v>0.0</v>
      </c>
      <c r="E63" s="38">
        <f>E61+E62</f>
        <v>0.0</v>
      </c>
      <c r="F63" s="38">
        <f>F61+F62</f>
        <v>0.0</v>
      </c>
      <c r="G63" s="40">
        <f>G61+G62</f>
        <v>85110.75</v>
      </c>
      <c r="H63" s="40">
        <f>H61+H62</f>
        <v>-6616.43</v>
      </c>
      <c r="I63" s="38">
        <f>I61+I62</f>
        <v>0.0</v>
      </c>
      <c r="J63" s="38">
        <f>J61+J62</f>
        <v>0.0</v>
      </c>
      <c r="K63" s="38">
        <f>K61+K62</f>
        <v>0.0</v>
      </c>
      <c r="L63" s="38">
        <f>L61+L62</f>
        <v>0.0</v>
      </c>
      <c r="M63" s="38">
        <f>M61+M62</f>
        <v>0.0</v>
      </c>
      <c r="N63" s="38">
        <f>B63+C63+D63+E63+F63+G63+H63+I63+J63+K63+L63+M63</f>
        <v>78494.32</v>
      </c>
    </row>
    <row r="64" spans="1:14" ht="16">
      <c r="A64" s="30" t="s">
        <v>61</v>
      </c>
      <c r="B64" s="37"/>
      <c r="C64" s="37"/>
      <c r="D64" s="39">
        <v>375.0</v>
      </c>
      <c r="E64" s="39">
        <v>800.0</v>
      </c>
      <c r="F64" s="37"/>
      <c r="G64" s="37"/>
      <c r="H64" s="37"/>
      <c r="I64" s="37"/>
      <c r="J64" s="37"/>
      <c r="K64" s="37"/>
      <c r="L64" s="37"/>
      <c r="M64" s="37"/>
      <c r="N64" s="39">
        <f>B64+C64+D64+E64+F64+G64+H64+I64+J64+K64+L64+M64</f>
        <v>1175.0</v>
      </c>
    </row>
    <row r="65" spans="1:14" ht="16">
      <c r="A65" s="30" t="s">
        <v>62</v>
      </c>
      <c r="B65" s="37"/>
      <c r="C65" s="37"/>
      <c r="D65" s="37"/>
      <c r="E65" s="37"/>
      <c r="F65" s="37"/>
      <c r="G65" s="37"/>
      <c r="H65" s="39">
        <v>20642.3</v>
      </c>
      <c r="I65" s="37"/>
      <c r="J65" s="37"/>
      <c r="K65" s="37"/>
      <c r="L65" s="37"/>
      <c r="M65" s="37"/>
      <c r="N65" s="39">
        <f>B65+C65+D65+E65+F65+G65+H65+I65+J65+K65+L65+M65</f>
        <v>20642.3</v>
      </c>
    </row>
    <row r="66" spans="1:14" ht="16">
      <c r="A66" s="31" t="s">
        <v>63</v>
      </c>
      <c r="B66" s="37"/>
      <c r="C66" s="37"/>
      <c r="D66" s="37"/>
      <c r="E66" s="39">
        <v>34965.46</v>
      </c>
      <c r="F66" s="37"/>
      <c r="G66" s="37"/>
      <c r="H66" s="37"/>
      <c r="I66" s="37"/>
      <c r="J66" s="37"/>
      <c r="K66" s="37"/>
      <c r="L66" s="37"/>
      <c r="M66" s="39">
        <v>10696.57</v>
      </c>
      <c r="N66" s="39">
        <f>B66+C66+D66+E66+F66+G66+H66+I66+J66+K66+L66+M66</f>
        <v>45662.03</v>
      </c>
    </row>
    <row r="67" spans="1:14" ht="16">
      <c r="A67" s="31" t="s">
        <v>64</v>
      </c>
      <c r="B67" s="37"/>
      <c r="C67" s="37"/>
      <c r="D67" s="37"/>
      <c r="E67" s="39">
        <v>15706.78</v>
      </c>
      <c r="F67" s="37"/>
      <c r="G67" s="37"/>
      <c r="H67" s="37"/>
      <c r="I67" s="37"/>
      <c r="J67" s="37"/>
      <c r="K67" s="37"/>
      <c r="L67" s="37"/>
      <c r="M67" s="37"/>
      <c r="N67" s="39">
        <f>B67+C67+D67+E67+F67+G67+H67+I67+J67+K67+L67+M67</f>
        <v>15706.78</v>
      </c>
    </row>
    <row r="68" spans="1:14" ht="16">
      <c r="A68" s="32" t="s">
        <v>65</v>
      </c>
      <c r="B68" s="38">
        <f>B65+B66+B67</f>
        <v>0.0</v>
      </c>
      <c r="C68" s="38">
        <f>C65+C66+C67</f>
        <v>0.0</v>
      </c>
      <c r="D68" s="38">
        <f>D65+D66+D67</f>
        <v>0.0</v>
      </c>
      <c r="E68" s="40">
        <f>E65+E66+E67</f>
        <v>50672.24</v>
      </c>
      <c r="F68" s="38">
        <f>F65+F66+F67</f>
        <v>0.0</v>
      </c>
      <c r="G68" s="38">
        <f>G65+G66+G67</f>
        <v>0.0</v>
      </c>
      <c r="H68" s="40">
        <f>H65+H66+H67</f>
        <v>20642.3</v>
      </c>
      <c r="I68" s="38">
        <f>I65+I66+I67</f>
        <v>0.0</v>
      </c>
      <c r="J68" s="38">
        <f>J65+J66+J67</f>
        <v>0.0</v>
      </c>
      <c r="K68" s="38">
        <f>K65+K66+K67</f>
        <v>0.0</v>
      </c>
      <c r="L68" s="38">
        <f>L65+L66+L67</f>
        <v>0.0</v>
      </c>
      <c r="M68" s="40">
        <f>M65+M66+M67</f>
        <v>10696.57</v>
      </c>
      <c r="N68" s="38">
        <f>B68+C68+D68+E68+F68+G68+H68+I68+J68+K68+L68+M68</f>
        <v>82011.10999999999</v>
      </c>
    </row>
    <row r="69" spans="1:14" ht="16">
      <c r="A69" s="30" t="s">
        <v>66</v>
      </c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9">
        <v>2620.59</v>
      </c>
      <c r="N69" s="39">
        <f>B69+C69+D69+E69+F69+G69+H69+I69+J69+K69+L69+M69</f>
        <v>2620.59</v>
      </c>
    </row>
    <row r="70" spans="1:14" ht="16">
      <c r="A70" s="30" t="s">
        <v>67</v>
      </c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</row>
    <row r="71" spans="1:14" ht="16">
      <c r="A71" s="31" t="s">
        <v>68</v>
      </c>
      <c r="B71" s="37"/>
      <c r="C71" s="37"/>
      <c r="D71" s="37"/>
      <c r="E71" s="37"/>
      <c r="F71" s="37"/>
      <c r="G71" s="37"/>
      <c r="H71" s="37"/>
      <c r="I71" s="37"/>
      <c r="J71" s="39">
        <v>9574.72</v>
      </c>
      <c r="K71" s="37"/>
      <c r="L71" s="37"/>
      <c r="M71" s="37"/>
      <c r="N71" s="39">
        <f>B71+C71+D71+E71+F71+G71+H71+I71+J71+K71+L71+M71</f>
        <v>9574.72</v>
      </c>
    </row>
    <row r="72" spans="1:14" ht="16">
      <c r="A72" s="31" t="s">
        <v>69</v>
      </c>
      <c r="B72" s="37"/>
      <c r="C72" s="37"/>
      <c r="D72" s="37"/>
      <c r="E72" s="37"/>
      <c r="F72" s="37"/>
      <c r="G72" s="37"/>
      <c r="H72" s="37"/>
      <c r="I72" s="37"/>
      <c r="J72" s="39">
        <v>6178.38</v>
      </c>
      <c r="K72" s="37"/>
      <c r="L72" s="37"/>
      <c r="M72" s="37"/>
      <c r="N72" s="39">
        <f>B72+C72+D72+E72+F72+G72+H72+I72+J72+K72+L72+M72</f>
        <v>6178.38</v>
      </c>
    </row>
    <row r="73" spans="1:14" ht="16">
      <c r="A73" s="31" t="s">
        <v>70</v>
      </c>
      <c r="B73" s="37"/>
      <c r="C73" s="37"/>
      <c r="D73" s="37"/>
      <c r="E73" s="37"/>
      <c r="F73" s="39">
        <v>800.0</v>
      </c>
      <c r="G73" s="37"/>
      <c r="H73" s="37"/>
      <c r="I73" s="37"/>
      <c r="J73" s="37"/>
      <c r="K73" s="37"/>
      <c r="L73" s="37"/>
      <c r="M73" s="37"/>
      <c r="N73" s="39">
        <f>B73+C73+D73+E73+F73+G73+H73+I73+J73+K73+L73+M73</f>
        <v>800.0</v>
      </c>
    </row>
    <row r="74" spans="1:14" ht="16">
      <c r="A74" s="32" t="s">
        <v>71</v>
      </c>
      <c r="B74" s="38">
        <f>B70+B71+B72+B73</f>
        <v>0.0</v>
      </c>
      <c r="C74" s="38">
        <f>C70+C71+C72+C73</f>
        <v>0.0</v>
      </c>
      <c r="D74" s="38">
        <f>D70+D71+D72+D73</f>
        <v>0.0</v>
      </c>
      <c r="E74" s="38">
        <f>E70+E71+E72+E73</f>
        <v>0.0</v>
      </c>
      <c r="F74" s="40">
        <f>F70+F71+F72+F73</f>
        <v>800.0</v>
      </c>
      <c r="G74" s="38">
        <f>G70+G71+G72+G73</f>
        <v>0.0</v>
      </c>
      <c r="H74" s="38">
        <f>H70+H71+H72+H73</f>
        <v>0.0</v>
      </c>
      <c r="I74" s="38">
        <f>I70+I71+I72+I73</f>
        <v>0.0</v>
      </c>
      <c r="J74" s="40">
        <f>J70+J71+J72+J73</f>
        <v>15753.099999999999</v>
      </c>
      <c r="K74" s="38">
        <f>K70+K71+K72+K73</f>
        <v>0.0</v>
      </c>
      <c r="L74" s="38">
        <f>L70+L71+L72+L73</f>
        <v>0.0</v>
      </c>
      <c r="M74" s="38">
        <f>M70+M71+M72+M73</f>
        <v>0.0</v>
      </c>
      <c r="N74" s="38">
        <f>B74+C74+D74+E74+F74+G74+H74+I74+J74+K74+L74+M74</f>
        <v>16553.1</v>
      </c>
    </row>
    <row r="75" spans="1:14" ht="16">
      <c r="A75" s="30" t="s">
        <v>72</v>
      </c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</row>
    <row r="76" spans="1:14" ht="16">
      <c r="A76" s="31" t="s">
        <v>73</v>
      </c>
      <c r="B76" s="39">
        <v>2000.0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9">
        <f>B76+C76+D76+E76+F76+G76+H76+I76+J76+K76+L76+M76</f>
        <v>2000.0</v>
      </c>
    </row>
    <row r="77" spans="1:14" ht="16">
      <c r="A77" s="32" t="s">
        <v>74</v>
      </c>
      <c r="B77" s="40">
        <f>B75+B76</f>
        <v>2000.0</v>
      </c>
      <c r="C77" s="38">
        <f>C75+C76</f>
        <v>0.0</v>
      </c>
      <c r="D77" s="38">
        <f>D75+D76</f>
        <v>0.0</v>
      </c>
      <c r="E77" s="38">
        <f>E75+E76</f>
        <v>0.0</v>
      </c>
      <c r="F77" s="38">
        <f>F75+F76</f>
        <v>0.0</v>
      </c>
      <c r="G77" s="38">
        <f>G75+G76</f>
        <v>0.0</v>
      </c>
      <c r="H77" s="38">
        <f>H75+H76</f>
        <v>0.0</v>
      </c>
      <c r="I77" s="38">
        <f>I75+I76</f>
        <v>0.0</v>
      </c>
      <c r="J77" s="38">
        <f>J75+J76</f>
        <v>0.0</v>
      </c>
      <c r="K77" s="38">
        <f>K75+K76</f>
        <v>0.0</v>
      </c>
      <c r="L77" s="38">
        <f>L75+L76</f>
        <v>0.0</v>
      </c>
      <c r="M77" s="38">
        <f>M75+M76</f>
        <v>0.0</v>
      </c>
      <c r="N77" s="38">
        <f>B77+C77+D77+E77+F77+G77+H77+I77+J77+K77+L77+M77</f>
        <v>2000.0</v>
      </c>
    </row>
    <row r="78" spans="1:14" ht="16">
      <c r="A78" s="30" t="s">
        <v>75</v>
      </c>
      <c r="B78" s="37"/>
      <c r="C78" s="37"/>
      <c r="D78" s="37"/>
      <c r="E78" s="39">
        <v>4109.25</v>
      </c>
      <c r="F78" s="37"/>
      <c r="G78" s="37"/>
      <c r="H78" s="37"/>
      <c r="I78" s="37"/>
      <c r="J78" s="37"/>
      <c r="K78" s="37"/>
      <c r="L78" s="37"/>
      <c r="M78" s="37"/>
      <c r="N78" s="39">
        <f>B78+C78+D78+E78+F78+G78+H78+I78+J78+K78+L78+M78</f>
        <v>4109.25</v>
      </c>
    </row>
    <row r="79" spans="1:14" ht="16">
      <c r="A79" s="31" t="s">
        <v>76</v>
      </c>
      <c r="B79" s="37"/>
      <c r="C79" s="39">
        <v>4945.76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9">
        <f>B79+C79+D79+E79+F79+G79+H79+I79+J79+K79+L79+M79</f>
        <v>4945.76</v>
      </c>
    </row>
    <row r="80" spans="1:14" ht="16">
      <c r="A80" s="32" t="s">
        <v>77</v>
      </c>
      <c r="B80" s="38">
        <f>B78+B79</f>
        <v>0.0</v>
      </c>
      <c r="C80" s="40">
        <f>C78+C79</f>
        <v>4945.76</v>
      </c>
      <c r="D80" s="38">
        <f>D78+D79</f>
        <v>0.0</v>
      </c>
      <c r="E80" s="40">
        <f>E78+E79</f>
        <v>4109.25</v>
      </c>
      <c r="F80" s="38">
        <f>F78+F79</f>
        <v>0.0</v>
      </c>
      <c r="G80" s="38">
        <f>G78+G79</f>
        <v>0.0</v>
      </c>
      <c r="H80" s="38">
        <f>H78+H79</f>
        <v>0.0</v>
      </c>
      <c r="I80" s="38">
        <f>I78+I79</f>
        <v>0.0</v>
      </c>
      <c r="J80" s="38">
        <f>J78+J79</f>
        <v>0.0</v>
      </c>
      <c r="K80" s="38">
        <f>K78+K79</f>
        <v>0.0</v>
      </c>
      <c r="L80" s="38">
        <f>L78+L79</f>
        <v>0.0</v>
      </c>
      <c r="M80" s="38">
        <f>M78+M79</f>
        <v>0.0</v>
      </c>
      <c r="N80" s="38">
        <f>B80+C80+D80+E80+F80+G80+H80+I80+J80+K80+L80+M80</f>
        <v>9055.01</v>
      </c>
    </row>
    <row r="81" spans="1:14" ht="16">
      <c r="A81" s="30" t="s">
        <v>78</v>
      </c>
      <c r="B81" s="37"/>
      <c r="C81" s="37"/>
      <c r="D81" s="37"/>
      <c r="E81" s="37"/>
      <c r="F81" s="37"/>
      <c r="G81" s="37"/>
      <c r="H81" s="37"/>
      <c r="I81" s="37"/>
      <c r="J81" s="39">
        <v>21534.59</v>
      </c>
      <c r="K81" s="37"/>
      <c r="L81" s="37"/>
      <c r="M81" s="37"/>
      <c r="N81" s="39">
        <f>B81+C81+D81+E81+F81+G81+H81+I81+J81+K81+L81+M81</f>
        <v>21534.59</v>
      </c>
    </row>
    <row r="82" spans="1:14" ht="16">
      <c r="A82" s="31" t="s">
        <v>79</v>
      </c>
      <c r="B82" s="37"/>
      <c r="C82" s="37"/>
      <c r="D82" s="37"/>
      <c r="E82" s="37"/>
      <c r="F82" s="37"/>
      <c r="G82" s="37"/>
      <c r="H82" s="37"/>
      <c r="I82" s="37"/>
      <c r="J82" s="42">
        <v>0</v>
      </c>
      <c r="K82" s="37"/>
      <c r="L82" s="37"/>
      <c r="M82" s="37"/>
      <c r="N82" s="42">
        <f>B82+C82+D82+E82+F82+G82+H82+I82+J82+K82+L82+M82</f>
        <v>0.0</v>
      </c>
    </row>
    <row r="83" spans="1:14" ht="16">
      <c r="A83" s="32" t="s">
        <v>80</v>
      </c>
      <c r="B83" s="38">
        <f>B81+B82</f>
        <v>0.0</v>
      </c>
      <c r="C83" s="38">
        <f>C81+C82</f>
        <v>0.0</v>
      </c>
      <c r="D83" s="38">
        <f>D81+D82</f>
        <v>0.0</v>
      </c>
      <c r="E83" s="38">
        <f>E81+E82</f>
        <v>0.0</v>
      </c>
      <c r="F83" s="38">
        <f>F81+F82</f>
        <v>0.0</v>
      </c>
      <c r="G83" s="38">
        <f>G81+G82</f>
        <v>0.0</v>
      </c>
      <c r="H83" s="38">
        <f>H81+H82</f>
        <v>0.0</v>
      </c>
      <c r="I83" s="38">
        <f>I81+I82</f>
        <v>0.0</v>
      </c>
      <c r="J83" s="40">
        <f>J81+J82</f>
        <v>21534.59</v>
      </c>
      <c r="K83" s="38">
        <f>K81+K82</f>
        <v>0.0</v>
      </c>
      <c r="L83" s="38">
        <f>L81+L82</f>
        <v>0.0</v>
      </c>
      <c r="M83" s="38">
        <f>M81+M82</f>
        <v>0.0</v>
      </c>
      <c r="N83" s="38">
        <f>B83+C83+D83+E83+F83+G83+H83+I83+J83+K83+L83+M83</f>
        <v>21534.59</v>
      </c>
    </row>
    <row r="84" spans="1:14" ht="16">
      <c r="A84" s="30" t="s">
        <v>81</v>
      </c>
      <c r="B84" s="37"/>
      <c r="C84" s="37"/>
      <c r="D84" s="37"/>
      <c r="E84" s="37"/>
      <c r="F84" s="37"/>
      <c r="G84" s="37"/>
      <c r="H84" s="37"/>
      <c r="I84" s="37"/>
      <c r="J84" s="37"/>
      <c r="K84" s="39">
        <v>695.61</v>
      </c>
      <c r="L84" s="37"/>
      <c r="M84" s="37"/>
      <c r="N84" s="39">
        <f>B84+C84+D84+E84+F84+G84+H84+I84+J84+K84+L84+M84</f>
        <v>695.61</v>
      </c>
    </row>
    <row r="85" spans="1:14" ht="16">
      <c r="A85" s="30" t="s">
        <v>82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</row>
    <row r="86" spans="1:14" ht="16">
      <c r="A86" s="31" t="s">
        <v>83</v>
      </c>
      <c r="B86" s="37"/>
      <c r="C86" s="37"/>
      <c r="D86" s="37"/>
      <c r="E86" s="37"/>
      <c r="F86" s="37"/>
      <c r="G86" s="37"/>
      <c r="H86" s="39">
        <v>1500.0</v>
      </c>
      <c r="I86" s="37"/>
      <c r="J86" s="37"/>
      <c r="K86" s="37"/>
      <c r="L86" s="37"/>
      <c r="M86" s="37"/>
      <c r="N86" s="39">
        <f>B86+C86+D86+E86+F86+G86+H86+I86+J86+K86+L86+M86</f>
        <v>1500.0</v>
      </c>
    </row>
    <row r="87" spans="1:14" ht="16">
      <c r="A87" s="32" t="s">
        <v>84</v>
      </c>
      <c r="B87" s="38">
        <f>B85+B86</f>
        <v>0.0</v>
      </c>
      <c r="C87" s="38">
        <f>C85+C86</f>
        <v>0.0</v>
      </c>
      <c r="D87" s="38">
        <f>D85+D86</f>
        <v>0.0</v>
      </c>
      <c r="E87" s="38">
        <f>E85+E86</f>
        <v>0.0</v>
      </c>
      <c r="F87" s="38">
        <f>F85+F86</f>
        <v>0.0</v>
      </c>
      <c r="G87" s="38">
        <f>G85+G86</f>
        <v>0.0</v>
      </c>
      <c r="H87" s="40">
        <f>H85+H86</f>
        <v>1500.0</v>
      </c>
      <c r="I87" s="38">
        <f>I85+I86</f>
        <v>0.0</v>
      </c>
      <c r="J87" s="38">
        <f>J85+J86</f>
        <v>0.0</v>
      </c>
      <c r="K87" s="38">
        <f>K85+K86</f>
        <v>0.0</v>
      </c>
      <c r="L87" s="38">
        <f>L85+L86</f>
        <v>0.0</v>
      </c>
      <c r="M87" s="38">
        <f>M85+M86</f>
        <v>0.0</v>
      </c>
      <c r="N87" s="38">
        <f>B87+C87+D87+E87+F87+G87+H87+I87+J87+K87+L87+M87</f>
        <v>1500.0</v>
      </c>
    </row>
    <row r="88" spans="1:14" ht="16">
      <c r="A88" s="30" t="s">
        <v>85</v>
      </c>
      <c r="B88" s="37"/>
      <c r="C88" s="37"/>
      <c r="D88" s="37"/>
      <c r="E88" s="37"/>
      <c r="F88" s="37"/>
      <c r="G88" s="37"/>
      <c r="H88" s="37"/>
      <c r="I88" s="37"/>
      <c r="J88" s="39">
        <v>700.0</v>
      </c>
      <c r="K88" s="37"/>
      <c r="L88" s="37"/>
      <c r="M88" s="39">
        <v>1700.0</v>
      </c>
      <c r="N88" s="39">
        <f>B88+C88+D88+E88+F88+G88+H88+I88+J88+K88+L88+M88</f>
        <v>2400.0</v>
      </c>
    </row>
    <row r="89" spans="1:14" ht="16">
      <c r="A89" s="30" t="s">
        <v>86</v>
      </c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9">
        <v>2500.0</v>
      </c>
      <c r="N89" s="39">
        <f>B89+C89+D89+E89+F89+G89+H89+I89+J89+K89+L89+M89</f>
        <v>2500.0</v>
      </c>
    </row>
    <row r="90" spans="1:14" ht="16">
      <c r="A90" s="30" t="s">
        <v>87</v>
      </c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6">
      <c r="A91" s="31" t="s">
        <v>88</v>
      </c>
      <c r="B91" s="37"/>
      <c r="C91" s="37"/>
      <c r="D91" s="37"/>
      <c r="E91" s="37"/>
      <c r="F91" s="37"/>
      <c r="G91" s="37"/>
      <c r="H91" s="37"/>
      <c r="I91" s="37"/>
      <c r="J91" s="39">
        <v>6183.36</v>
      </c>
      <c r="K91" s="37"/>
      <c r="L91" s="37"/>
      <c r="M91" s="37"/>
      <c r="N91" s="39">
        <f>B91+C91+D91+E91+F91+G91+H91+I91+J91+K91+L91+M91</f>
        <v>6183.36</v>
      </c>
    </row>
    <row r="92" spans="1:14" ht="16">
      <c r="A92" s="32" t="s">
        <v>89</v>
      </c>
      <c r="B92" s="38">
        <f>B90+B91</f>
        <v>0.0</v>
      </c>
      <c r="C92" s="38">
        <f>C90+C91</f>
        <v>0.0</v>
      </c>
      <c r="D92" s="38">
        <f>D90+D91</f>
        <v>0.0</v>
      </c>
      <c r="E92" s="38">
        <f>E90+E91</f>
        <v>0.0</v>
      </c>
      <c r="F92" s="38">
        <f>F90+F91</f>
        <v>0.0</v>
      </c>
      <c r="G92" s="38">
        <f>G90+G91</f>
        <v>0.0</v>
      </c>
      <c r="H92" s="38">
        <f>H90+H91</f>
        <v>0.0</v>
      </c>
      <c r="I92" s="38">
        <f>I90+I91</f>
        <v>0.0</v>
      </c>
      <c r="J92" s="40">
        <f>J90+J91</f>
        <v>6183.36</v>
      </c>
      <c r="K92" s="38">
        <f>K90+K91</f>
        <v>0.0</v>
      </c>
      <c r="L92" s="38">
        <f>L90+L91</f>
        <v>0.0</v>
      </c>
      <c r="M92" s="38">
        <f>M90+M91</f>
        <v>0.0</v>
      </c>
      <c r="N92" s="38">
        <f>B92+C92+D92+E92+F92+G92+H92+I92+J92+K92+L92+M92</f>
        <v>6183.36</v>
      </c>
    </row>
    <row r="93" spans="1:14" ht="16">
      <c r="A93" s="30" t="s">
        <v>90</v>
      </c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</row>
    <row r="94" spans="1:14" ht="16">
      <c r="A94" s="31" t="s">
        <v>91</v>
      </c>
      <c r="B94" s="37"/>
      <c r="C94" s="37"/>
      <c r="D94" s="37"/>
      <c r="E94" s="37"/>
      <c r="F94" s="37"/>
      <c r="G94" s="39">
        <v>1400.0</v>
      </c>
      <c r="H94" s="37"/>
      <c r="I94" s="37"/>
      <c r="J94" s="37"/>
      <c r="K94" s="37"/>
      <c r="L94" s="37"/>
      <c r="M94" s="37"/>
      <c r="N94" s="39">
        <f>B94+C94+D94+E94+F94+G94+H94+I94+J94+K94+L94+M94</f>
        <v>1400.0</v>
      </c>
    </row>
    <row r="95" spans="1:14" ht="16">
      <c r="A95" s="32" t="s">
        <v>92</v>
      </c>
      <c r="B95" s="38">
        <f>B93+B94</f>
        <v>0.0</v>
      </c>
      <c r="C95" s="38">
        <f>C93+C94</f>
        <v>0.0</v>
      </c>
      <c r="D95" s="38">
        <f>D93+D94</f>
        <v>0.0</v>
      </c>
      <c r="E95" s="38">
        <f>E93+E94</f>
        <v>0.0</v>
      </c>
      <c r="F95" s="38">
        <f>F93+F94</f>
        <v>0.0</v>
      </c>
      <c r="G95" s="40">
        <f>G93+G94</f>
        <v>1400.0</v>
      </c>
      <c r="H95" s="38">
        <f>H93+H94</f>
        <v>0.0</v>
      </c>
      <c r="I95" s="38">
        <f>I93+I94</f>
        <v>0.0</v>
      </c>
      <c r="J95" s="38">
        <f>J93+J94</f>
        <v>0.0</v>
      </c>
      <c r="K95" s="38">
        <f>K93+K94</f>
        <v>0.0</v>
      </c>
      <c r="L95" s="38">
        <f>L93+L94</f>
        <v>0.0</v>
      </c>
      <c r="M95" s="38">
        <f>M93+M94</f>
        <v>0.0</v>
      </c>
      <c r="N95" s="38">
        <f>B95+C95+D95+E95+F95+G95+H95+I95+J95+K95+L95+M95</f>
        <v>1400.0</v>
      </c>
    </row>
    <row r="96" spans="1:14" ht="16">
      <c r="A96" s="30" t="s">
        <v>93</v>
      </c>
      <c r="B96" s="37"/>
      <c r="C96" s="39">
        <v>720.0</v>
      </c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9">
        <f>B96+C96+D96+E96+F96+G96+H96+I96+J96+K96+L96+M96</f>
        <v>720.0</v>
      </c>
    </row>
    <row r="97" spans="1:14" ht="16">
      <c r="A97" s="31" t="s">
        <v>94</v>
      </c>
      <c r="B97" s="37"/>
      <c r="C97" s="39">
        <v>2800.0</v>
      </c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9">
        <f>B97+C97+D97+E97+F97+G97+H97+I97+J97+K97+L97+M97</f>
        <v>2800.0</v>
      </c>
    </row>
    <row r="98" spans="1:14" ht="16">
      <c r="A98" s="32" t="s">
        <v>95</v>
      </c>
      <c r="B98" s="38">
        <f>B96+B97</f>
        <v>0.0</v>
      </c>
      <c r="C98" s="40">
        <f>C96+C97</f>
        <v>3520.0</v>
      </c>
      <c r="D98" s="38">
        <f>D96+D97</f>
        <v>0.0</v>
      </c>
      <c r="E98" s="38">
        <f>E96+E97</f>
        <v>0.0</v>
      </c>
      <c r="F98" s="38">
        <f>F96+F97</f>
        <v>0.0</v>
      </c>
      <c r="G98" s="38">
        <f>G96+G97</f>
        <v>0.0</v>
      </c>
      <c r="H98" s="38">
        <f>H96+H97</f>
        <v>0.0</v>
      </c>
      <c r="I98" s="38">
        <f>I96+I97</f>
        <v>0.0</v>
      </c>
      <c r="J98" s="38">
        <f>J96+J97</f>
        <v>0.0</v>
      </c>
      <c r="K98" s="38">
        <f>K96+K97</f>
        <v>0.0</v>
      </c>
      <c r="L98" s="38">
        <f>L96+L97</f>
        <v>0.0</v>
      </c>
      <c r="M98" s="38">
        <f>M96+M97</f>
        <v>0.0</v>
      </c>
      <c r="N98" s="38">
        <f>B98+C98+D98+E98+F98+G98+H98+I98+J98+K98+L98+M98</f>
        <v>3520.0</v>
      </c>
    </row>
    <row r="99" spans="1:14" ht="16">
      <c r="A99" s="30" t="s">
        <v>96</v>
      </c>
      <c r="B99" s="37"/>
      <c r="C99" s="37"/>
      <c r="D99" s="37"/>
      <c r="E99" s="37"/>
      <c r="F99" s="37"/>
      <c r="G99" s="37"/>
      <c r="H99" s="39">
        <v>4466.04</v>
      </c>
      <c r="I99" s="37"/>
      <c r="J99" s="37"/>
      <c r="K99" s="39">
        <v>4466.04</v>
      </c>
      <c r="L99" s="37"/>
      <c r="M99" s="37"/>
      <c r="N99" s="39">
        <f>B99+C99+D99+E99+F99+G99+H99+I99+J99+K99+L99+M99</f>
        <v>8932.08</v>
      </c>
    </row>
    <row r="100" spans="1:14" ht="16">
      <c r="A100" s="31" t="s">
        <v>97</v>
      </c>
      <c r="B100" s="37"/>
      <c r="C100" s="37"/>
      <c r="D100" s="37"/>
      <c r="E100" s="37"/>
      <c r="F100" s="37"/>
      <c r="G100" s="37"/>
      <c r="H100" s="39">
        <v>1409.1</v>
      </c>
      <c r="I100" s="37"/>
      <c r="J100" s="37"/>
      <c r="K100" s="37"/>
      <c r="L100" s="37"/>
      <c r="M100" s="37"/>
      <c r="N100" s="39">
        <f>B100+C100+D100+E100+F100+G100+H100+I100+J100+K100+L100+M100</f>
        <v>1409.1</v>
      </c>
    </row>
    <row r="101" spans="1:14" ht="16">
      <c r="A101" s="32" t="s">
        <v>98</v>
      </c>
      <c r="B101" s="38">
        <f>B99+B100</f>
        <v>0.0</v>
      </c>
      <c r="C101" s="38">
        <f>C99+C100</f>
        <v>0.0</v>
      </c>
      <c r="D101" s="38">
        <f>D99+D100</f>
        <v>0.0</v>
      </c>
      <c r="E101" s="38">
        <f>E99+E100</f>
        <v>0.0</v>
      </c>
      <c r="F101" s="38">
        <f>F99+F100</f>
        <v>0.0</v>
      </c>
      <c r="G101" s="38">
        <f>G99+G100</f>
        <v>0.0</v>
      </c>
      <c r="H101" s="40">
        <f>H99+H100</f>
        <v>5875.139999999999</v>
      </c>
      <c r="I101" s="38">
        <f>I99+I100</f>
        <v>0.0</v>
      </c>
      <c r="J101" s="38">
        <f>J99+J100</f>
        <v>0.0</v>
      </c>
      <c r="K101" s="40">
        <f>K99+K100</f>
        <v>4466.04</v>
      </c>
      <c r="L101" s="38">
        <f>L99+L100</f>
        <v>0.0</v>
      </c>
      <c r="M101" s="38">
        <f>M99+M100</f>
        <v>0.0</v>
      </c>
      <c r="N101" s="38">
        <f>B101+C101+D101+E101+F101+G101+H101+I101+J101+K101+L101+M101</f>
        <v>10341.18</v>
      </c>
    </row>
    <row r="102" spans="1:14" ht="16">
      <c r="A102" s="30" t="s">
        <v>99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  <row r="103" spans="1:14" ht="16">
      <c r="A103" s="31" t="s">
        <v>100</v>
      </c>
      <c r="B103" s="39">
        <v>17200.0</v>
      </c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9">
        <f>B103+C103+D103+E103+F103+G103+H103+I103+J103+K103+L103+M103</f>
        <v>17200.0</v>
      </c>
    </row>
    <row r="104" spans="1:14" ht="16">
      <c r="A104" s="32" t="s">
        <v>101</v>
      </c>
      <c r="B104" s="40">
        <f>B102+B103</f>
        <v>17200.0</v>
      </c>
      <c r="C104" s="38">
        <f>C102+C103</f>
        <v>0.0</v>
      </c>
      <c r="D104" s="38">
        <f>D102+D103</f>
        <v>0.0</v>
      </c>
      <c r="E104" s="38">
        <f>E102+E103</f>
        <v>0.0</v>
      </c>
      <c r="F104" s="38">
        <f>F102+F103</f>
        <v>0.0</v>
      </c>
      <c r="G104" s="38">
        <f>G102+G103</f>
        <v>0.0</v>
      </c>
      <c r="H104" s="38">
        <f>H102+H103</f>
        <v>0.0</v>
      </c>
      <c r="I104" s="38">
        <f>I102+I103</f>
        <v>0.0</v>
      </c>
      <c r="J104" s="38">
        <f>J102+J103</f>
        <v>0.0</v>
      </c>
      <c r="K104" s="38">
        <f>K102+K103</f>
        <v>0.0</v>
      </c>
      <c r="L104" s="38">
        <f>L102+L103</f>
        <v>0.0</v>
      </c>
      <c r="M104" s="38">
        <f>M102+M103</f>
        <v>0.0</v>
      </c>
      <c r="N104" s="38">
        <f>B104+C104+D104+E104+F104+G104+H104+I104+J104+K104+L104+M104</f>
        <v>17200.0</v>
      </c>
    </row>
    <row r="105" spans="1:14" ht="16">
      <c r="A105" s="30" t="s">
        <v>102</v>
      </c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9">
        <v>22300.0</v>
      </c>
      <c r="N105" s="39">
        <f>B105+C105+D105+E105+F105+G105+H105+I105+J105+K105+L105+M105</f>
        <v>22300.0</v>
      </c>
    </row>
    <row r="106" spans="1:14" ht="16">
      <c r="A106" s="30" t="s">
        <v>103</v>
      </c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</row>
    <row r="107" spans="1:14" ht="16">
      <c r="A107" s="31" t="s">
        <v>104</v>
      </c>
      <c r="B107" s="37"/>
      <c r="C107" s="39">
        <v>10000.0</v>
      </c>
      <c r="D107" s="37"/>
      <c r="E107" s="39">
        <v>64046.49</v>
      </c>
      <c r="F107" s="37"/>
      <c r="G107" s="37"/>
      <c r="H107" s="37"/>
      <c r="I107" s="37"/>
      <c r="J107" s="37"/>
      <c r="K107" s="37"/>
      <c r="L107" s="37"/>
      <c r="M107" s="37"/>
      <c r="N107" s="39">
        <f>B107+C107+D107+E107+F107+G107+H107+I107+J107+K107+L107+M107</f>
        <v>74046.48999999999</v>
      </c>
    </row>
    <row r="108" spans="1:14" ht="16">
      <c r="A108" s="32" t="s">
        <v>105</v>
      </c>
      <c r="B108" s="38">
        <f>B106+B107</f>
        <v>0.0</v>
      </c>
      <c r="C108" s="40">
        <f>C106+C107</f>
        <v>10000.0</v>
      </c>
      <c r="D108" s="38">
        <f>D106+D107</f>
        <v>0.0</v>
      </c>
      <c r="E108" s="40">
        <f>E106+E107</f>
        <v>64046.49</v>
      </c>
      <c r="F108" s="38">
        <f>F106+F107</f>
        <v>0.0</v>
      </c>
      <c r="G108" s="38">
        <f>G106+G107</f>
        <v>0.0</v>
      </c>
      <c r="H108" s="38">
        <f>H106+H107</f>
        <v>0.0</v>
      </c>
      <c r="I108" s="38">
        <f>I106+I107</f>
        <v>0.0</v>
      </c>
      <c r="J108" s="38">
        <f>J106+J107</f>
        <v>0.0</v>
      </c>
      <c r="K108" s="38">
        <f>K106+K107</f>
        <v>0.0</v>
      </c>
      <c r="L108" s="38">
        <f>L106+L107</f>
        <v>0.0</v>
      </c>
      <c r="M108" s="38">
        <f>M106+M107</f>
        <v>0.0</v>
      </c>
      <c r="N108" s="38">
        <f>B108+C108+D108+E108+F108+G108+H108+I108+J108+K108+L108+M108</f>
        <v>74046.48999999999</v>
      </c>
    </row>
    <row r="109" spans="1:14" ht="16">
      <c r="A109" s="30" t="s">
        <v>106</v>
      </c>
      <c r="B109" s="37"/>
      <c r="C109" s="37"/>
      <c r="D109" s="37"/>
      <c r="E109" s="37"/>
      <c r="F109" s="37"/>
      <c r="G109" s="37"/>
      <c r="H109" s="37"/>
      <c r="I109" s="37"/>
      <c r="J109" s="39">
        <v>199.0</v>
      </c>
      <c r="K109" s="37"/>
      <c r="L109" s="37"/>
      <c r="M109" s="37"/>
      <c r="N109" s="39">
        <f>B109+C109+D109+E109+F109+G109+H109+I109+J109+K109+L109+M109</f>
        <v>199.0</v>
      </c>
    </row>
    <row r="110" spans="1:14" ht="16">
      <c r="A110" s="30" t="s">
        <v>107</v>
      </c>
      <c r="B110" s="37"/>
      <c r="C110" s="37"/>
      <c r="D110" s="37"/>
      <c r="E110" s="37"/>
      <c r="F110" s="37"/>
      <c r="G110" s="37"/>
      <c r="H110" s="39">
        <v>18044.83</v>
      </c>
      <c r="I110" s="37"/>
      <c r="J110" s="37"/>
      <c r="K110" s="37"/>
      <c r="L110" s="37"/>
      <c r="M110" s="37"/>
      <c r="N110" s="39">
        <f>B110+C110+D110+E110+F110+G110+H110+I110+J110+K110+L110+M110</f>
        <v>18044.83</v>
      </c>
    </row>
    <row r="111" spans="1:14" ht="16">
      <c r="A111" s="30" t="s">
        <v>108</v>
      </c>
      <c r="B111" s="37"/>
      <c r="C111" s="37"/>
      <c r="D111" s="37"/>
      <c r="E111" s="37"/>
      <c r="F111" s="37"/>
      <c r="G111" s="37"/>
      <c r="H111" s="37"/>
      <c r="I111" s="39">
        <v>10100.0</v>
      </c>
      <c r="J111" s="37"/>
      <c r="K111" s="37"/>
      <c r="L111" s="37"/>
      <c r="M111" s="37"/>
      <c r="N111" s="39">
        <f>B111+C111+D111+E111+F111+G111+H111+I111+J111+K111+L111+M111</f>
        <v>10100.0</v>
      </c>
    </row>
    <row r="112" spans="1:14" ht="16">
      <c r="A112" s="30" t="s">
        <v>109</v>
      </c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9">
        <v>425.0</v>
      </c>
      <c r="N112" s="39">
        <f>B112+C112+D112+E112+F112+G112+H112+I112+J112+K112+L112+M112</f>
        <v>425.0</v>
      </c>
    </row>
    <row r="113" spans="1:14" ht="16">
      <c r="A113" s="30" t="s">
        <v>110</v>
      </c>
      <c r="B113" s="37"/>
      <c r="C113" s="37"/>
      <c r="D113" s="37"/>
      <c r="E113" s="37"/>
      <c r="F113" s="37"/>
      <c r="G113" s="37"/>
      <c r="H113" s="37"/>
      <c r="I113" s="37"/>
      <c r="J113" s="39">
        <v>2000.0</v>
      </c>
      <c r="K113" s="37"/>
      <c r="L113" s="37"/>
      <c r="M113" s="37"/>
      <c r="N113" s="39">
        <f>B113+C113+D113+E113+F113+G113+H113+I113+J113+K113+L113+M113</f>
        <v>2000.0</v>
      </c>
    </row>
    <row r="114" spans="1:14" ht="16">
      <c r="A114" s="30" t="s">
        <v>111</v>
      </c>
      <c r="B114" s="37"/>
      <c r="C114" s="37"/>
      <c r="D114" s="37"/>
      <c r="E114" s="39">
        <v>6713.41</v>
      </c>
      <c r="F114" s="37"/>
      <c r="G114" s="37"/>
      <c r="H114" s="37"/>
      <c r="I114" s="37"/>
      <c r="J114" s="37"/>
      <c r="K114" s="37"/>
      <c r="L114" s="37"/>
      <c r="M114" s="37"/>
      <c r="N114" s="39">
        <f>B114+C114+D114+E114+F114+G114+H114+I114+J114+K114+L114+M114</f>
        <v>6713.41</v>
      </c>
    </row>
    <row r="115" spans="1:14" ht="16">
      <c r="A115" s="31" t="s">
        <v>112</v>
      </c>
      <c r="B115" s="37"/>
      <c r="C115" s="37"/>
      <c r="D115" s="37"/>
      <c r="E115" s="37"/>
      <c r="F115" s="37"/>
      <c r="G115" s="39">
        <v>1930.08</v>
      </c>
      <c r="H115" s="37"/>
      <c r="I115" s="37"/>
      <c r="J115" s="37"/>
      <c r="K115" s="37"/>
      <c r="L115" s="37"/>
      <c r="M115" s="37"/>
      <c r="N115" s="39">
        <f>B115+C115+D115+E115+F115+G115+H115+I115+J115+K115+L115+M115</f>
        <v>1930.08</v>
      </c>
    </row>
    <row r="116" spans="1:14" ht="16">
      <c r="A116" s="31" t="s">
        <v>113</v>
      </c>
      <c r="B116" s="37"/>
      <c r="C116" s="37"/>
      <c r="D116" s="37"/>
      <c r="E116" s="37"/>
      <c r="F116" s="37"/>
      <c r="G116" s="39">
        <v>5747.22</v>
      </c>
      <c r="H116" s="37"/>
      <c r="I116" s="37"/>
      <c r="J116" s="37"/>
      <c r="K116" s="37"/>
      <c r="L116" s="37"/>
      <c r="M116" s="37"/>
      <c r="N116" s="39">
        <f>B116+C116+D116+E116+F116+G116+H116+I116+J116+K116+L116+M116</f>
        <v>5747.22</v>
      </c>
    </row>
    <row r="117" spans="1:14" ht="16">
      <c r="A117" s="32" t="s">
        <v>114</v>
      </c>
      <c r="B117" s="38">
        <f>B114+B115+B116</f>
        <v>0.0</v>
      </c>
      <c r="C117" s="38">
        <f>C114+C115+C116</f>
        <v>0.0</v>
      </c>
      <c r="D117" s="38">
        <f>D114+D115+D116</f>
        <v>0.0</v>
      </c>
      <c r="E117" s="40">
        <f>E114+E115+E116</f>
        <v>6713.41</v>
      </c>
      <c r="F117" s="38">
        <f>F114+F115+F116</f>
        <v>0.0</v>
      </c>
      <c r="G117" s="40">
        <f>G114+G115+G116</f>
        <v>7677.3</v>
      </c>
      <c r="H117" s="38">
        <f>H114+H115+H116</f>
        <v>0.0</v>
      </c>
      <c r="I117" s="38">
        <f>I114+I115+I116</f>
        <v>0.0</v>
      </c>
      <c r="J117" s="38">
        <f>J114+J115+J116</f>
        <v>0.0</v>
      </c>
      <c r="K117" s="38">
        <f>K114+K115+K116</f>
        <v>0.0</v>
      </c>
      <c r="L117" s="38">
        <f>L114+L115+L116</f>
        <v>0.0</v>
      </c>
      <c r="M117" s="38">
        <f>M114+M115+M116</f>
        <v>0.0</v>
      </c>
      <c r="N117" s="38">
        <f>B117+C117+D117+E117+F117+G117+H117+I117+J117+K117+L117+M117</f>
        <v>14390.71</v>
      </c>
    </row>
    <row r="118" spans="1:14" ht="16">
      <c r="A118" s="30" t="s">
        <v>115</v>
      </c>
      <c r="B118" s="37"/>
      <c r="C118" s="37"/>
      <c r="D118" s="39">
        <v>3334.91</v>
      </c>
      <c r="E118" s="37"/>
      <c r="F118" s="37"/>
      <c r="G118" s="37"/>
      <c r="H118" s="37"/>
      <c r="I118" s="37"/>
      <c r="J118" s="37"/>
      <c r="K118" s="37"/>
      <c r="L118" s="37"/>
      <c r="M118" s="37"/>
      <c r="N118" s="39">
        <f>B118+C118+D118+E118+F118+G118+H118+I118+J118+K118+L118+M118</f>
        <v>3334.91</v>
      </c>
    </row>
    <row r="119" spans="1:14" ht="16">
      <c r="A119" s="31" t="s">
        <v>116</v>
      </c>
      <c r="B119" s="37"/>
      <c r="C119" s="37"/>
      <c r="D119" s="39">
        <v>184149.11</v>
      </c>
      <c r="E119" s="37"/>
      <c r="F119" s="37"/>
      <c r="G119" s="37"/>
      <c r="H119" s="39">
        <v>190916.19</v>
      </c>
      <c r="I119" s="37"/>
      <c r="J119" s="37"/>
      <c r="K119" s="37"/>
      <c r="L119" s="37"/>
      <c r="M119" s="37"/>
      <c r="N119" s="39">
        <f>B119+C119+D119+E119+F119+G119+H119+I119+J119+K119+L119+M119</f>
        <v>375065.3</v>
      </c>
    </row>
    <row r="120" spans="1:14" ht="16">
      <c r="A120" s="32" t="s">
        <v>117</v>
      </c>
      <c r="B120" s="38">
        <f>B118+B119</f>
        <v>0.0</v>
      </c>
      <c r="C120" s="38">
        <f>C118+C119</f>
        <v>0.0</v>
      </c>
      <c r="D120" s="40">
        <f>D118+D119</f>
        <v>187484.02</v>
      </c>
      <c r="E120" s="38">
        <f>E118+E119</f>
        <v>0.0</v>
      </c>
      <c r="F120" s="38">
        <f>F118+F119</f>
        <v>0.0</v>
      </c>
      <c r="G120" s="38">
        <f>G118+G119</f>
        <v>0.0</v>
      </c>
      <c r="H120" s="40">
        <f>H118+H119</f>
        <v>190916.19</v>
      </c>
      <c r="I120" s="38">
        <f>I118+I119</f>
        <v>0.0</v>
      </c>
      <c r="J120" s="38">
        <f>J118+J119</f>
        <v>0.0</v>
      </c>
      <c r="K120" s="38">
        <f>K118+K119</f>
        <v>0.0</v>
      </c>
      <c r="L120" s="38">
        <f>L118+L119</f>
        <v>0.0</v>
      </c>
      <c r="M120" s="38">
        <f>M118+M119</f>
        <v>0.0</v>
      </c>
      <c r="N120" s="38">
        <f>B120+C120+D120+E120+F120+G120+H120+I120+J120+K120+L120+M120</f>
        <v>378400.20999999996</v>
      </c>
    </row>
    <row r="121" spans="1:14" ht="16">
      <c r="A121" s="30" t="s">
        <v>118</v>
      </c>
      <c r="B121" s="37"/>
      <c r="C121" s="37"/>
      <c r="D121" s="37"/>
      <c r="E121" s="37"/>
      <c r="F121" s="37"/>
      <c r="G121" s="37"/>
      <c r="H121" s="37"/>
      <c r="I121" s="39">
        <v>1500.0</v>
      </c>
      <c r="J121" s="37"/>
      <c r="K121" s="37"/>
      <c r="L121" s="37"/>
      <c r="M121" s="37"/>
      <c r="N121" s="39">
        <f>B121+C121+D121+E121+F121+G121+H121+I121+J121+K121+L121+M121</f>
        <v>1500.0</v>
      </c>
    </row>
    <row r="122" spans="1:14" ht="16">
      <c r="A122" s="30" t="s">
        <v>119</v>
      </c>
      <c r="B122" s="37"/>
      <c r="C122" s="37"/>
      <c r="D122" s="37"/>
      <c r="E122" s="37"/>
      <c r="F122" s="37"/>
      <c r="G122" s="37"/>
      <c r="H122" s="37"/>
      <c r="I122" s="37"/>
      <c r="J122" s="39">
        <v>8620.29</v>
      </c>
      <c r="K122" s="37"/>
      <c r="L122" s="37"/>
      <c r="M122" s="37"/>
      <c r="N122" s="39">
        <f>B122+C122+D122+E122+F122+G122+H122+I122+J122+K122+L122+M122</f>
        <v>8620.29</v>
      </c>
    </row>
    <row r="123" spans="1:14" ht="16">
      <c r="A123" s="30" t="s">
        <v>120</v>
      </c>
      <c r="B123" s="37"/>
      <c r="C123" s="37"/>
      <c r="D123" s="37"/>
      <c r="E123" s="37"/>
      <c r="F123" s="37"/>
      <c r="G123" s="37"/>
      <c r="H123" s="37"/>
      <c r="I123" s="39">
        <v>7583.02</v>
      </c>
      <c r="J123" s="37"/>
      <c r="K123" s="37"/>
      <c r="L123" s="37"/>
      <c r="M123" s="37"/>
      <c r="N123" s="39">
        <f>B123+C123+D123+E123+F123+G123+H123+I123+J123+K123+L123+M123</f>
        <v>7583.02</v>
      </c>
    </row>
    <row r="124" spans="1:14" ht="16">
      <c r="A124" s="30" t="s">
        <v>121</v>
      </c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9">
        <v>1500.0</v>
      </c>
      <c r="M124" s="37"/>
      <c r="N124" s="39">
        <f>B124+C124+D124+E124+F124+G124+H124+I124+J124+K124+L124+M124</f>
        <v>1500.0</v>
      </c>
    </row>
    <row r="125" spans="1:14" ht="16">
      <c r="A125" s="30" t="s">
        <v>122</v>
      </c>
      <c r="B125" s="37"/>
      <c r="C125" s="39">
        <v>211617.46</v>
      </c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9">
        <f>B125+C125+D125+E125+F125+G125+H125+I125+J125+K125+L125+M125</f>
        <v>211617.46</v>
      </c>
    </row>
    <row r="126" spans="1:14" ht="16">
      <c r="A126" s="30" t="s">
        <v>123</v>
      </c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</row>
    <row r="127" spans="1:14" ht="16">
      <c r="A127" s="31" t="s">
        <v>124</v>
      </c>
      <c r="B127" s="37"/>
      <c r="C127" s="37"/>
      <c r="D127" s="39">
        <v>2736.66</v>
      </c>
      <c r="E127" s="37"/>
      <c r="F127" s="37"/>
      <c r="G127" s="37"/>
      <c r="H127" s="37"/>
      <c r="I127" s="37"/>
      <c r="J127" s="37"/>
      <c r="K127" s="37"/>
      <c r="L127" s="37"/>
      <c r="M127" s="37"/>
      <c r="N127" s="39">
        <f>B127+C127+D127+E127+F127+G127+H127+I127+J127+K127+L127+M127</f>
        <v>2736.66</v>
      </c>
    </row>
    <row r="128" spans="1:14" ht="16">
      <c r="A128" s="32" t="s">
        <v>125</v>
      </c>
      <c r="B128" s="38">
        <f>B126+B127</f>
        <v>0.0</v>
      </c>
      <c r="C128" s="38">
        <f>C126+C127</f>
        <v>0.0</v>
      </c>
      <c r="D128" s="40">
        <f>D126+D127</f>
        <v>2736.66</v>
      </c>
      <c r="E128" s="38">
        <f>E126+E127</f>
        <v>0.0</v>
      </c>
      <c r="F128" s="38">
        <f>F126+F127</f>
        <v>0.0</v>
      </c>
      <c r="G128" s="38">
        <f>G126+G127</f>
        <v>0.0</v>
      </c>
      <c r="H128" s="38">
        <f>H126+H127</f>
        <v>0.0</v>
      </c>
      <c r="I128" s="38">
        <f>I126+I127</f>
        <v>0.0</v>
      </c>
      <c r="J128" s="38">
        <f>J126+J127</f>
        <v>0.0</v>
      </c>
      <c r="K128" s="38">
        <f>K126+K127</f>
        <v>0.0</v>
      </c>
      <c r="L128" s="38">
        <f>L126+L127</f>
        <v>0.0</v>
      </c>
      <c r="M128" s="38">
        <f>M126+M127</f>
        <v>0.0</v>
      </c>
      <c r="N128" s="38">
        <f>B128+C128+D128+E128+F128+G128+H128+I128+J128+K128+L128+M128</f>
        <v>2736.66</v>
      </c>
    </row>
    <row r="129" spans="1:14" ht="16">
      <c r="A129" s="30" t="s">
        <v>126</v>
      </c>
      <c r="B129" s="37"/>
      <c r="C129" s="37"/>
      <c r="D129" s="37"/>
      <c r="E129" s="37"/>
      <c r="F129" s="37"/>
      <c r="G129" s="39">
        <v>2425.82</v>
      </c>
      <c r="H129" s="37"/>
      <c r="I129" s="37"/>
      <c r="J129" s="37"/>
      <c r="K129" s="37"/>
      <c r="L129" s="37"/>
      <c r="M129" s="37"/>
      <c r="N129" s="39">
        <f>B129+C129+D129+E129+F129+G129+H129+I129+J129+K129+L129+M129</f>
        <v>2425.82</v>
      </c>
    </row>
    <row r="130" spans="1:14" ht="16">
      <c r="A130" s="31" t="s">
        <v>127</v>
      </c>
      <c r="B130" s="37"/>
      <c r="C130" s="37"/>
      <c r="D130" s="37"/>
      <c r="E130" s="39">
        <v>10139.0</v>
      </c>
      <c r="F130" s="37"/>
      <c r="G130" s="37"/>
      <c r="H130" s="37"/>
      <c r="I130" s="37"/>
      <c r="J130" s="37"/>
      <c r="K130" s="37"/>
      <c r="L130" s="37"/>
      <c r="M130" s="37"/>
      <c r="N130" s="39">
        <f>B130+C130+D130+E130+F130+G130+H130+I130+J130+K130+L130+M130</f>
        <v>10139.0</v>
      </c>
    </row>
    <row r="131" spans="1:14" ht="16">
      <c r="A131" s="31" t="s">
        <v>128</v>
      </c>
      <c r="B131" s="37"/>
      <c r="C131" s="37"/>
      <c r="D131" s="37"/>
      <c r="E131" s="39">
        <v>7675.62</v>
      </c>
      <c r="F131" s="37"/>
      <c r="G131" s="37"/>
      <c r="H131" s="37"/>
      <c r="I131" s="37"/>
      <c r="J131" s="37"/>
      <c r="K131" s="37"/>
      <c r="L131" s="37"/>
      <c r="M131" s="37"/>
      <c r="N131" s="39">
        <f>B131+C131+D131+E131+F131+G131+H131+I131+J131+K131+L131+M131</f>
        <v>7675.62</v>
      </c>
    </row>
    <row r="132" spans="1:14" ht="16">
      <c r="A132" s="32" t="s">
        <v>129</v>
      </c>
      <c r="B132" s="38">
        <f>B129+B130+B131</f>
        <v>0.0</v>
      </c>
      <c r="C132" s="38">
        <f>C129+C130+C131</f>
        <v>0.0</v>
      </c>
      <c r="D132" s="38">
        <f>D129+D130+D131</f>
        <v>0.0</v>
      </c>
      <c r="E132" s="40">
        <f>E129+E130+E131</f>
        <v>17814.62</v>
      </c>
      <c r="F132" s="38">
        <f>F129+F130+F131</f>
        <v>0.0</v>
      </c>
      <c r="G132" s="40">
        <f>G129+G130+G131</f>
        <v>2425.82</v>
      </c>
      <c r="H132" s="38">
        <f>H129+H130+H131</f>
        <v>0.0</v>
      </c>
      <c r="I132" s="38">
        <f>I129+I130+I131</f>
        <v>0.0</v>
      </c>
      <c r="J132" s="38">
        <f>J129+J130+J131</f>
        <v>0.0</v>
      </c>
      <c r="K132" s="38">
        <f>K129+K130+K131</f>
        <v>0.0</v>
      </c>
      <c r="L132" s="38">
        <f>L129+L130+L131</f>
        <v>0.0</v>
      </c>
      <c r="M132" s="38">
        <f>M129+M130+M131</f>
        <v>0.0</v>
      </c>
      <c r="N132" s="38">
        <f>B132+C132+D132+E132+F132+G132+H132+I132+J132+K132+L132+M132</f>
        <v>20240.44</v>
      </c>
    </row>
    <row r="133" spans="1:14" ht="16">
      <c r="A133" s="30" t="s">
        <v>130</v>
      </c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</row>
    <row r="134" spans="1:14" ht="16">
      <c r="A134" s="31" t="s">
        <v>131</v>
      </c>
      <c r="B134" s="37"/>
      <c r="C134" s="39">
        <v>5621.18</v>
      </c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9">
        <f>B134+C134+D134+E134+F134+G134+H134+I134+J134+K134+L134+M134</f>
        <v>5621.18</v>
      </c>
    </row>
    <row r="135" spans="1:14" ht="16">
      <c r="A135" s="32" t="s">
        <v>132</v>
      </c>
      <c r="B135" s="38">
        <f>B133+B134</f>
        <v>0.0</v>
      </c>
      <c r="C135" s="40">
        <f>C133+C134</f>
        <v>5621.18</v>
      </c>
      <c r="D135" s="38">
        <f>D133+D134</f>
        <v>0.0</v>
      </c>
      <c r="E135" s="38">
        <f>E133+E134</f>
        <v>0.0</v>
      </c>
      <c r="F135" s="38">
        <f>F133+F134</f>
        <v>0.0</v>
      </c>
      <c r="G135" s="38">
        <f>G133+G134</f>
        <v>0.0</v>
      </c>
      <c r="H135" s="38">
        <f>H133+H134</f>
        <v>0.0</v>
      </c>
      <c r="I135" s="38">
        <f>I133+I134</f>
        <v>0.0</v>
      </c>
      <c r="J135" s="38">
        <f>J133+J134</f>
        <v>0.0</v>
      </c>
      <c r="K135" s="38">
        <f>K133+K134</f>
        <v>0.0</v>
      </c>
      <c r="L135" s="38">
        <f>L133+L134</f>
        <v>0.0</v>
      </c>
      <c r="M135" s="38">
        <f>M133+M134</f>
        <v>0.0</v>
      </c>
      <c r="N135" s="38">
        <f>B135+C135+D135+E135+F135+G135+H135+I135+J135+K135+L135+M135</f>
        <v>5621.18</v>
      </c>
    </row>
    <row r="136" spans="1:14" ht="16">
      <c r="A136" s="30" t="s">
        <v>133</v>
      </c>
      <c r="B136" s="37"/>
      <c r="C136" s="37"/>
      <c r="D136" s="37"/>
      <c r="E136" s="39">
        <v>3312.46</v>
      </c>
      <c r="F136" s="37"/>
      <c r="G136" s="37"/>
      <c r="H136" s="37"/>
      <c r="I136" s="37"/>
      <c r="J136" s="37"/>
      <c r="K136" s="37"/>
      <c r="L136" s="37"/>
      <c r="M136" s="37"/>
      <c r="N136" s="39">
        <f>B136+C136+D136+E136+F136+G136+H136+I136+J136+K136+L136+M136</f>
        <v>3312.46</v>
      </c>
    </row>
    <row r="137" spans="1:14" ht="16">
      <c r="A137" s="30" t="s">
        <v>134</v>
      </c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</row>
    <row r="138" spans="1:14" ht="16">
      <c r="A138" s="31" t="s">
        <v>135</v>
      </c>
      <c r="B138" s="37"/>
      <c r="C138" s="39">
        <v>533.56</v>
      </c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9">
        <f>B138+C138+D138+E138+F138+G138+H138+I138+J138+K138+L138+M138</f>
        <v>533.56</v>
      </c>
    </row>
    <row r="139" spans="1:14" ht="16">
      <c r="A139" s="32" t="s">
        <v>136</v>
      </c>
      <c r="B139" s="38">
        <f>B137+B138</f>
        <v>0.0</v>
      </c>
      <c r="C139" s="40">
        <f>C137+C138</f>
        <v>533.56</v>
      </c>
      <c r="D139" s="38">
        <f>D137+D138</f>
        <v>0.0</v>
      </c>
      <c r="E139" s="38">
        <f>E137+E138</f>
        <v>0.0</v>
      </c>
      <c r="F139" s="38">
        <f>F137+F138</f>
        <v>0.0</v>
      </c>
      <c r="G139" s="38">
        <f>G137+G138</f>
        <v>0.0</v>
      </c>
      <c r="H139" s="38">
        <f>H137+H138</f>
        <v>0.0</v>
      </c>
      <c r="I139" s="38">
        <f>I137+I138</f>
        <v>0.0</v>
      </c>
      <c r="J139" s="38">
        <f>J137+J138</f>
        <v>0.0</v>
      </c>
      <c r="K139" s="38">
        <f>K137+K138</f>
        <v>0.0</v>
      </c>
      <c r="L139" s="38">
        <f>L137+L138</f>
        <v>0.0</v>
      </c>
      <c r="M139" s="38">
        <f>M137+M138</f>
        <v>0.0</v>
      </c>
      <c r="N139" s="38">
        <f>B139+C139+D139+E139+F139+G139+H139+I139+J139+K139+L139+M139</f>
        <v>533.56</v>
      </c>
    </row>
    <row r="140" spans="1:14" ht="16">
      <c r="A140" s="30" t="s">
        <v>137</v>
      </c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</row>
    <row r="141" spans="1:14" ht="16">
      <c r="A141" s="31" t="s">
        <v>138</v>
      </c>
      <c r="B141" s="39">
        <v>1000.0</v>
      </c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9">
        <f>B141+C141+D141+E141+F141+G141+H141+I141+J141+K141+L141+M141</f>
        <v>1000.0</v>
      </c>
    </row>
    <row r="142" spans="1:14" ht="16">
      <c r="A142" s="32" t="s">
        <v>139</v>
      </c>
      <c r="B142" s="40">
        <f>B140+B141</f>
        <v>1000.0</v>
      </c>
      <c r="C142" s="38">
        <f>C140+C141</f>
        <v>0.0</v>
      </c>
      <c r="D142" s="38">
        <f>D140+D141</f>
        <v>0.0</v>
      </c>
      <c r="E142" s="38">
        <f>E140+E141</f>
        <v>0.0</v>
      </c>
      <c r="F142" s="38">
        <f>F140+F141</f>
        <v>0.0</v>
      </c>
      <c r="G142" s="38">
        <f>G140+G141</f>
        <v>0.0</v>
      </c>
      <c r="H142" s="38">
        <f>H140+H141</f>
        <v>0.0</v>
      </c>
      <c r="I142" s="38">
        <f>I140+I141</f>
        <v>0.0</v>
      </c>
      <c r="J142" s="38">
        <f>J140+J141</f>
        <v>0.0</v>
      </c>
      <c r="K142" s="38">
        <f>K140+K141</f>
        <v>0.0</v>
      </c>
      <c r="L142" s="38">
        <f>L140+L141</f>
        <v>0.0</v>
      </c>
      <c r="M142" s="38">
        <f>M140+M141</f>
        <v>0.0</v>
      </c>
      <c r="N142" s="38">
        <f>B142+C142+D142+E142+F142+G142+H142+I142+J142+K142+L142+M142</f>
        <v>1000.0</v>
      </c>
    </row>
    <row r="143" spans="1:14" ht="16">
      <c r="A143" s="30" t="s">
        <v>140</v>
      </c>
      <c r="B143" s="37"/>
      <c r="C143" s="37"/>
      <c r="D143" s="37"/>
      <c r="E143" s="37"/>
      <c r="F143" s="37"/>
      <c r="G143" s="37"/>
      <c r="H143" s="39">
        <v>1800.0</v>
      </c>
      <c r="I143" s="37"/>
      <c r="J143" s="37"/>
      <c r="K143" s="37"/>
      <c r="L143" s="37"/>
      <c r="M143" s="37"/>
      <c r="N143" s="39">
        <f>B143+C143+D143+E143+F143+G143+H143+I143+J143+K143+L143+M143</f>
        <v>1800.0</v>
      </c>
    </row>
    <row r="144" spans="1:14" ht="16">
      <c r="A144" s="31" t="s">
        <v>141</v>
      </c>
      <c r="B144" s="37"/>
      <c r="C144" s="37"/>
      <c r="D144" s="37"/>
      <c r="E144" s="37"/>
      <c r="F144" s="37"/>
      <c r="G144" s="37"/>
      <c r="H144" s="42">
        <v>0</v>
      </c>
      <c r="I144" s="37"/>
      <c r="J144" s="37"/>
      <c r="K144" s="37"/>
      <c r="L144" s="37"/>
      <c r="M144" s="37"/>
      <c r="N144" s="42">
        <f>B144+C144+D144+E144+F144+G144+H144+I144+J144+K144+L144+M144</f>
        <v>0.0</v>
      </c>
    </row>
    <row r="145" spans="1:14" ht="16">
      <c r="A145" s="32" t="s">
        <v>142</v>
      </c>
      <c r="B145" s="38">
        <f>B143+B144</f>
        <v>0.0</v>
      </c>
      <c r="C145" s="38">
        <f>C143+C144</f>
        <v>0.0</v>
      </c>
      <c r="D145" s="38">
        <f>D143+D144</f>
        <v>0.0</v>
      </c>
      <c r="E145" s="38">
        <f>E143+E144</f>
        <v>0.0</v>
      </c>
      <c r="F145" s="38">
        <f>F143+F144</f>
        <v>0.0</v>
      </c>
      <c r="G145" s="38">
        <f>G143+G144</f>
        <v>0.0</v>
      </c>
      <c r="H145" s="40">
        <f>H143+H144</f>
        <v>1800.0</v>
      </c>
      <c r="I145" s="38">
        <f>I143+I144</f>
        <v>0.0</v>
      </c>
      <c r="J145" s="38">
        <f>J143+J144</f>
        <v>0.0</v>
      </c>
      <c r="K145" s="38">
        <f>K143+K144</f>
        <v>0.0</v>
      </c>
      <c r="L145" s="38">
        <f>L143+L144</f>
        <v>0.0</v>
      </c>
      <c r="M145" s="38">
        <f>M143+M144</f>
        <v>0.0</v>
      </c>
      <c r="N145" s="38">
        <f>B145+C145+D145+E145+F145+G145+H145+I145+J145+K145+L145+M145</f>
        <v>1800.0</v>
      </c>
    </row>
    <row r="146" spans="1:14" ht="16">
      <c r="A146" s="30" t="s">
        <v>143</v>
      </c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9">
        <v>812.69</v>
      </c>
      <c r="N146" s="39">
        <f>B146+C146+D146+E146+F146+G146+H146+I146+J146+K146+L146+M146</f>
        <v>812.69</v>
      </c>
    </row>
    <row r="147" spans="1:14" ht="16">
      <c r="A147" s="33" t="s">
        <v>144</v>
      </c>
      <c r="B147" s="40">
        <f>B8+B9+B12+B13+B16+B17+B21+B24+B25+B28+B29+B30+B31+B34+B37+B38+B39+B40+B41+B44+B45+B48+B51+B54+B57+B60+B63+B64+B68+B69+B74+B77+B80+B83+B84+B87+B88+B89+B92+B95+B98+B101+B104+B105+B108+B109+B110+B111+B112+B113+B117+B120+B121+B122+B123+B124+B125+B128+B132+B135+B136+B139+B142+B145+B146</f>
        <v>20200.0</v>
      </c>
      <c r="C147" s="40">
        <f>C8+C9+C12+C13+C16+C17+C21+C24+C25+C28+C29+C30+C31+C34+C37+C38+C39+C40+C41+C44+C45+C48+C51+C54+C57+C60+C63+C64+C68+C69+C74+C77+C80+C83+C84+C87+C88+C89+C92+C95+C98+C101+C104+C105+C108+C109+C110+C111+C112+C113+C117+C120+C121+C122+C123+C124+C125+C128+C132+C135+C136+C139+C142+C145+C146</f>
        <v>382484.38</v>
      </c>
      <c r="D147" s="40">
        <f>D8+D9+D12+D13+D16+D17+D21+D24+D25+D28+D29+D30+D31+D34+D37+D38+D39+D40+D41+D44+D45+D48+D51+D54+D57+D60+D63+D64+D68+D69+D74+D77+D80+D83+D84+D87+D88+D89+D92+D95+D98+D101+D104+D105+D108+D109+D110+D111+D112+D113+D117+D120+D121+D122+D123+D124+D125+D128+D132+D135+D136+D139+D142+D145+D146</f>
        <v>190595.68</v>
      </c>
      <c r="E147" s="40">
        <f>E8+E9+E12+E13+E16+E17+E21+E24+E25+E28+E29+E30+E31+E34+E37+E38+E39+E40+E41+E44+E45+E48+E51+E54+E57+E60+E63+E64+E68+E69+E74+E77+E80+E83+E84+E87+E88+E89+E92+E95+E98+E101+E104+E105+E108+E109+E110+E111+E112+E113+E117+E120+E121+E122+E123+E124+E125+E128+E132+E135+E136+E139+E142+E145+E146</f>
        <v>155098.46999999997</v>
      </c>
      <c r="F147" s="40">
        <f>F8+F9+F12+F13+F16+F17+F21+F24+F25+F28+F29+F30+F31+F34+F37+F38+F39+F40+F41+F44+F45+F48+F51+F54+F57+F60+F63+F64+F68+F69+F74+F77+F80+F83+F84+F87+F88+F89+F92+F95+F98+F101+F104+F105+F108+F109+F110+F111+F112+F113+F117+F120+F121+F122+F123+F124+F125+F128+F132+F135+F136+F139+F142+F145+F146</f>
        <v>22349.62</v>
      </c>
      <c r="G147" s="40">
        <f>G8+G9+G12+G13+G16+G17+G21+G24+G25+G28+G29+G30+G31+G34+G37+G38+G39+G40+G41+G44+G45+G48+G51+G54+G57+G60+G63+G64+G68+G69+G74+G77+G80+G83+G84+G87+G88+G89+G92+G95+G98+G101+G104+G105+G108+G109+G110+G111+G112+G113+G117+G120+G121+G122+G123+G124+G125+G128+G132+G135+G136+G139+G142+G145+G146</f>
        <v>105728.97000000002</v>
      </c>
      <c r="H147" s="40">
        <f>H8+H9+H12+H13+H16+H17+H21+H24+H25+H28+H29+H30+H31+H34+H37+H38+H39+H40+H41+H44+H45+H48+H51+H54+H57+H60+H63+H64+H68+H69+H74+H77+H80+H83+H84+H87+H88+H89+H92+H95+H98+H101+H104+H105+H108+H109+H110+H111+H112+H113+H117+H120+H121+H122+H123+H124+H125+H128+H132+H135+H136+H139+H142+H145+H146</f>
        <v>232311.03</v>
      </c>
      <c r="I147" s="40">
        <f>I8+I9+I12+I13+I16+I17+I21+I24+I25+I28+I29+I30+I31+I34+I37+I38+I39+I40+I41+I44+I45+I48+I51+I54+I57+I60+I63+I64+I68+I69+I74+I77+I80+I83+I84+I87+I88+I89+I92+I95+I98+I101+I104+I105+I108+I109+I110+I111+I112+I113+I117+I120+I121+I122+I123+I124+I125+I128+I132+I135+I136+I139+I142+I145+I146</f>
        <v>19183.02</v>
      </c>
      <c r="J147" s="40">
        <f>J8+J9+J12+J13+J16+J17+J21+J24+J25+J28+J29+J30+J31+J34+J37+J38+J39+J40+J41+J44+J45+J48+J51+J54+J57+J60+J63+J64+J68+J69+J74+J77+J80+J83+J84+J87+J88+J89+J92+J95+J98+J101+J104+J105+J108+J109+J110+J111+J112+J113+J117+J120+J121+J122+J123+J124+J125+J128+J132+J135+J136+J139+J142+J145+J146</f>
        <v>77498.57999999999</v>
      </c>
      <c r="K147" s="40">
        <f>K8+K9+K12+K13+K16+K17+K21+K24+K25+K28+K29+K30+K31+K34+K37+K38+K39+K40+K41+K44+K45+K48+K51+K54+K57+K60+K63+K64+K68+K69+K74+K77+K80+K83+K84+K87+K88+K89+K92+K95+K98+K101+K104+K105+K108+K109+K110+K111+K112+K113+K117+K120+K121+K122+K123+K124+K125+K128+K132+K135+K136+K139+K142+K145+K146</f>
        <v>12526.65</v>
      </c>
      <c r="L147" s="40">
        <f>L8+L9+L12+L13+L16+L17+L21+L24+L25+L28+L29+L30+L31+L34+L37+L38+L39+L40+L41+L44+L45+L48+L51+L54+L57+L60+L63+L64+L68+L69+L74+L77+L80+L83+L84+L87+L88+L89+L92+L95+L98+L101+L104+L105+L108+L109+L110+L111+L112+L113+L117+L120+L121+L122+L123+L124+L125+L128+L132+L135+L136+L139+L142+L145+L146</f>
        <v>47152.16</v>
      </c>
      <c r="M147" s="40">
        <f>M8+M9+M12+M13+M16+M17+M21+M24+M25+M28+M29+M30+M31+M34+M37+M38+M39+M40+M41+M44+M45+M48+M51+M54+M57+M60+M63+M64+M68+M69+M74+M77+M80+M83+M84+M87+M88+M89+M92+M95+M98+M101+M104+M105+M108+M109+M110+M111+M112+M113+M117+M120+M121+M122+M123+M124+M125+M128+M132+M135+M136+M139+M142+M145+M146</f>
        <v>44488.520000000004</v>
      </c>
      <c r="N147" s="38">
        <f>B147+C147+D147+E147+F147+G147+H147+I147+J147+K147+L147+M147</f>
        <v>1309617.0799999998</v>
      </c>
    </row>
    <row r="151" spans="1:1" ht="16">
      <c r="A151" s="43" t="s">
        <v>159</v>
      </c>
    </row>
  </sheetData>
  <mergeCells count="4">
    <mergeCell ref="A1:N1"/>
    <mergeCell ref="A2:N2"/>
    <mergeCell ref="A3:N3"/>
    <mergeCell ref="A151:N15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